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5-Advance Excel with finding Fraud &amp; anomalies\"/>
    </mc:Choice>
  </mc:AlternateContent>
  <xr:revisionPtr revIDLastSave="0" documentId="13_ncr:1_{7AFBBE8C-7445-4BEC-BD5C-35BAC13E1063}" xr6:coauthVersionLast="47" xr6:coauthVersionMax="47" xr10:uidLastSave="{00000000-0000-0000-0000-000000000000}"/>
  <bookViews>
    <workbookView xWindow="-120" yWindow="-120" windowWidth="20730" windowHeight="11160" activeTab="1" xr2:uid="{ED5059F1-0714-4D1A-A597-CA4D351F2C4E}"/>
  </bookViews>
  <sheets>
    <sheet name="Data" sheetId="1" r:id="rId1"/>
    <sheet name="Ques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<sst xmlns="http://schemas.openxmlformats.org/spreadsheetml/2006/main" count="244" uniqueCount="149">
  <si>
    <t>🎯 WHAT YOU SHOULD PRACTICE ON THIS DATA</t>
  </si>
  <si>
    <t>🔍 Fraud Tasks (Try in Excel)</t>
  </si>
  <si>
    <t>Transaction_ID</t>
  </si>
  <si>
    <t>Date</t>
  </si>
  <si>
    <t>Vendor</t>
  </si>
  <si>
    <t>Invoice_No</t>
  </si>
  <si>
    <t>Amount</t>
  </si>
  <si>
    <t>Payment_Mode</t>
  </si>
  <si>
    <t>TXN001</t>
  </si>
  <si>
    <t>ABC Traders</t>
  </si>
  <si>
    <t>INV101</t>
  </si>
  <si>
    <t>Bank</t>
  </si>
  <si>
    <t>TXN002</t>
  </si>
  <si>
    <t>TXN003</t>
  </si>
  <si>
    <t>XYZ Services</t>
  </si>
  <si>
    <t>INV202</t>
  </si>
  <si>
    <t>TXN004</t>
  </si>
  <si>
    <t>New Vendor</t>
  </si>
  <si>
    <t>INV301</t>
  </si>
  <si>
    <t>Cash</t>
  </si>
  <si>
    <t>TXN005</t>
  </si>
  <si>
    <t>PQR Supplies</t>
  </si>
  <si>
    <t>INV401</t>
  </si>
  <si>
    <t>TXN006</t>
  </si>
  <si>
    <t>INV105</t>
  </si>
  <si>
    <t>TXN007</t>
  </si>
  <si>
    <t>INV207</t>
  </si>
  <si>
    <t>TXN008</t>
  </si>
  <si>
    <t>INV305</t>
  </si>
  <si>
    <t>TXN009</t>
  </si>
  <si>
    <t>INV108</t>
  </si>
  <si>
    <t>TXN010</t>
  </si>
  <si>
    <t>LMN Corp</t>
  </si>
  <si>
    <t>INV501</t>
  </si>
  <si>
    <t>TXN011</t>
  </si>
  <si>
    <t>INV502</t>
  </si>
  <si>
    <t>TXN012</t>
  </si>
  <si>
    <t>INV503</t>
  </si>
  <si>
    <t>TXN013</t>
  </si>
  <si>
    <t>13-01-2025</t>
  </si>
  <si>
    <t>INV209</t>
  </si>
  <si>
    <t>TXN014</t>
  </si>
  <si>
    <t>14-01-2025</t>
  </si>
  <si>
    <t>TXN015</t>
  </si>
  <si>
    <t>15-01-2025</t>
  </si>
  <si>
    <t>INV405</t>
  </si>
  <si>
    <t>TXN016</t>
  </si>
  <si>
    <t>16-01-2025</t>
  </si>
  <si>
    <t>INV406</t>
  </si>
  <si>
    <t>TXN017</t>
  </si>
  <si>
    <t>17-01-2025</t>
  </si>
  <si>
    <t>INV310</t>
  </si>
  <si>
    <t>TXN018</t>
  </si>
  <si>
    <t>18-01-2025</t>
  </si>
  <si>
    <t>INV110</t>
  </si>
  <si>
    <t>TXN019</t>
  </si>
  <si>
    <t>19-01-2025</t>
  </si>
  <si>
    <t>INV111</t>
  </si>
  <si>
    <t>TXN020</t>
  </si>
  <si>
    <t>20-01-2025</t>
  </si>
  <si>
    <t>INV112</t>
  </si>
  <si>
    <t>TXN021</t>
  </si>
  <si>
    <t>21-01-2025</t>
  </si>
  <si>
    <t>INV215</t>
  </si>
  <si>
    <t>TXN022</t>
  </si>
  <si>
    <t>22-01-2025</t>
  </si>
  <si>
    <t>INV216</t>
  </si>
  <si>
    <t>TXN023</t>
  </si>
  <si>
    <t>23-01-2025</t>
  </si>
  <si>
    <t>INV217</t>
  </si>
  <si>
    <t>TXN024</t>
  </si>
  <si>
    <t>24-01-2025</t>
  </si>
  <si>
    <t>INV510</t>
  </si>
  <si>
    <t>TXN025</t>
  </si>
  <si>
    <t>25-01-2025</t>
  </si>
  <si>
    <t>INV511</t>
  </si>
  <si>
    <t>TXN026</t>
  </si>
  <si>
    <t>26-01-2025</t>
  </si>
  <si>
    <t>INV315</t>
  </si>
  <si>
    <t>TXN027</t>
  </si>
  <si>
    <t>27-01-2025</t>
  </si>
  <si>
    <t>INV115</t>
  </si>
  <si>
    <t>TXN028</t>
  </si>
  <si>
    <t>28-01-2025</t>
  </si>
  <si>
    <t>INV116</t>
  </si>
  <si>
    <t>TXN029</t>
  </si>
  <si>
    <t>29-01-2025</t>
  </si>
  <si>
    <t>INV410</t>
  </si>
  <si>
    <t>TXN030</t>
  </si>
  <si>
    <t>30-01-2025</t>
  </si>
  <si>
    <t>INV411</t>
  </si>
  <si>
    <t>TXN031</t>
  </si>
  <si>
    <t>31-01-2025</t>
  </si>
  <si>
    <t>INV220</t>
  </si>
  <si>
    <t>TXN032</t>
  </si>
  <si>
    <t>INV221</t>
  </si>
  <si>
    <t>TXN033</t>
  </si>
  <si>
    <t>INV222</t>
  </si>
  <si>
    <t>TXN034</t>
  </si>
  <si>
    <t>INV223</t>
  </si>
  <si>
    <t>TXN035</t>
  </si>
  <si>
    <t>INV320</t>
  </si>
  <si>
    <t>TXN036</t>
  </si>
  <si>
    <t>INV321</t>
  </si>
  <si>
    <t>TXN037</t>
  </si>
  <si>
    <t>INV322</t>
  </si>
  <si>
    <t>TXN038</t>
  </si>
  <si>
    <t>INV120</t>
  </si>
  <si>
    <t>TXN039</t>
  </si>
  <si>
    <t>INV121</t>
  </si>
  <si>
    <t>TXN040</t>
  </si>
  <si>
    <t>INV122</t>
  </si>
  <si>
    <t>TXN041</t>
  </si>
  <si>
    <t>INV520</t>
  </si>
  <si>
    <t>TXN042</t>
  </si>
  <si>
    <t>INV521</t>
  </si>
  <si>
    <t>TXN043</t>
  </si>
  <si>
    <t>INV522</t>
  </si>
  <si>
    <t>TXN044</t>
  </si>
  <si>
    <t>13-02-2025</t>
  </si>
  <si>
    <t>INV420</t>
  </si>
  <si>
    <t>TXN045</t>
  </si>
  <si>
    <t>14-02-2025</t>
  </si>
  <si>
    <t>INV421</t>
  </si>
  <si>
    <t>TXN046</t>
  </si>
  <si>
    <t>15-02-2025</t>
  </si>
  <si>
    <t>INV422</t>
  </si>
  <si>
    <t>TXN047</t>
  </si>
  <si>
    <t>16-02-2025</t>
  </si>
  <si>
    <t>INV230</t>
  </si>
  <si>
    <t>TXN048</t>
  </si>
  <si>
    <t>17-02-2025</t>
  </si>
  <si>
    <t>INV231</t>
  </si>
  <si>
    <t>TXN049</t>
  </si>
  <si>
    <t>18-02-2025</t>
  </si>
  <si>
    <t>INV330</t>
  </si>
  <si>
    <t>TXN050</t>
  </si>
  <si>
    <t>19-02-2025</t>
  </si>
  <si>
    <t>INV331</t>
  </si>
  <si>
    <t>1. Find duplicate invoices</t>
  </si>
  <si>
    <t>2. Identify just-below-50,000 payments</t>
  </si>
  <si>
    <t>3. Detect high-value cash transactions</t>
  </si>
  <si>
    <t>4. Flag new vendors with large amounts</t>
  </si>
  <si>
    <t>5. Calculate Z-score anomalies</t>
  </si>
  <si>
    <t>6. Find repeating small payments</t>
  </si>
  <si>
    <t>7. Use Pivot Tables → Vendor vs Total Amount</t>
  </si>
  <si>
    <t>Duplicate Invoice</t>
  </si>
  <si>
    <t>2nd Duplicate Invoice</t>
  </si>
  <si>
    <t>https://chatgpt.com/c/696f2135-baa0-8329-a302-c5095fac572f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</si>
</sst>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rgb="FF0000CC"/>
      <name val="Aptos Narrow"/>
      <family val="2"/>
      <scheme val="minor"/>
    </font>
    <font>
      <sz val="11"/>
      <color rgb="FF0000CC"/>
      <name val="Aptos Narrow"/>
      <family val="2"/>
      <scheme val="minor"/>
    </font>
    <font>
      <b/>
      <sz val="13.5"/>
      <color rgb="FF0000CC"/>
      <name val="Aptos Narrow"/>
      <family val="2"/>
      <scheme val="minor"/>
    </font>
    <font>
      <b/>
      <sz val="14"/>
      <color rgb="FF0000CC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9D34-DF30-4FA6-BC30-2A7B895AF3A8}">
  <dimension ref="A1:H51"/>
  <sheetViews>
    <sheetView workbookViewId="0">
      <selection activeCell="L7" sqref="L7"/>
    </sheetView>
  </sheetViews>
  <sheetFormatPr defaultRowHeight="15" x14ac:dyDescent="0.25"/>
  <cols>
    <col min="1" max="1" width="15.28515625" customWidth="1"/>
    <col min="2" max="2" width="12.7109375" customWidth="1"/>
    <col min="3" max="3" width="14.42578125" customWidth="1"/>
    <col min="4" max="4" width="13.140625" customWidth="1"/>
    <col min="5" max="5" width="11" customWidth="1"/>
    <col min="6" max="6" width="18.42578125" customWidth="1"/>
    <col min="7" max="7" width="16.42578125" customWidth="1"/>
    <col min="8" max="8" width="20.140625" bestFit="1" customWidth="1"/>
  </cols>
  <sheetData>
    <row r="1" spans="1:8" ht="18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11" t="s">
        <v>146</v>
      </c>
      <c r="H1" s="11" t="s">
        <v>147</v>
      </c>
    </row>
    <row r="2" spans="1:8" x14ac:dyDescent="0.25">
      <c r="A2" s="6" t="s">
        <v>8</v>
      </c>
      <c r="B2" s="7">
        <v>45658</v>
      </c>
      <c r="C2" s="6" t="s">
        <v>9</v>
      </c>
      <c r="D2" s="6" t="s">
        <v>10</v>
      </c>
      <c r="E2" s="6">
        <v>49900</v>
      </c>
      <c r="F2" s="6" t="s">
        <v>11</v>
      </c>
      <c r="G2" s="5">
        <f>COUNTIFS($C:$C,C2,$D:$D,D2)</f>
        <v>2</v>
      </c>
      <c r="H2" t="str">
        <f>IF(COUNTIFS($C:$C,C2,$D:$D,D2)&gt;1,"DUPLICATE","OK")</f>
        <v>DUPLICATE</v>
      </c>
    </row>
    <row r="3" spans="1:8" x14ac:dyDescent="0.25">
      <c r="A3" s="6" t="s">
        <v>12</v>
      </c>
      <c r="B3" s="7">
        <v>45658</v>
      </c>
      <c r="C3" s="6" t="s">
        <v>9</v>
      </c>
      <c r="D3" s="6" t="s">
        <v>10</v>
      </c>
      <c r="E3" s="6">
        <v>49900</v>
      </c>
      <c r="F3" s="6" t="s">
        <v>11</v>
      </c>
      <c r="G3" s="5">
        <f t="shared" ref="G3:G51" si="0">COUNTIFS($C:$C,C3,$D:$D,D3)</f>
        <v>2</v>
      </c>
      <c r="H3" t="str">
        <f t="shared" ref="H3:H51" si="1">IF(COUNTIFS($C:$C,C3,$D:$D,D3)&gt;1,"DUPLICATE","OK")</f>
        <v>DUPLICATE</v>
      </c>
    </row>
    <row r="4" spans="1:8" x14ac:dyDescent="0.25">
      <c r="A4" s="6" t="s">
        <v>13</v>
      </c>
      <c r="B4" s="7">
        <v>45689</v>
      </c>
      <c r="C4" s="6" t="s">
        <v>14</v>
      </c>
      <c r="D4" s="6" t="s">
        <v>15</v>
      </c>
      <c r="E4" s="6">
        <v>120000</v>
      </c>
      <c r="F4" s="6" t="s">
        <v>11</v>
      </c>
      <c r="G4" s="5">
        <f t="shared" si="0"/>
        <v>1</v>
      </c>
      <c r="H4" t="str">
        <f t="shared" si="1"/>
        <v>OK</v>
      </c>
    </row>
    <row r="5" spans="1:8" x14ac:dyDescent="0.25">
      <c r="A5" s="6" t="s">
        <v>16</v>
      </c>
      <c r="B5" s="7">
        <v>45748</v>
      </c>
      <c r="C5" s="6" t="s">
        <v>17</v>
      </c>
      <c r="D5" s="6" t="s">
        <v>18</v>
      </c>
      <c r="E5" s="6">
        <v>80000</v>
      </c>
      <c r="F5" s="6" t="s">
        <v>19</v>
      </c>
      <c r="G5" s="5">
        <f t="shared" si="0"/>
        <v>1</v>
      </c>
      <c r="H5" t="str">
        <f t="shared" si="1"/>
        <v>OK</v>
      </c>
    </row>
    <row r="6" spans="1:8" x14ac:dyDescent="0.25">
      <c r="A6" s="6" t="s">
        <v>20</v>
      </c>
      <c r="B6" s="7">
        <v>45778</v>
      </c>
      <c r="C6" s="6" t="s">
        <v>21</v>
      </c>
      <c r="D6" s="6" t="s">
        <v>22</v>
      </c>
      <c r="E6" s="6">
        <v>10000</v>
      </c>
      <c r="F6" s="6" t="s">
        <v>11</v>
      </c>
      <c r="G6" s="5">
        <f t="shared" si="0"/>
        <v>1</v>
      </c>
      <c r="H6" t="str">
        <f t="shared" si="1"/>
        <v>OK</v>
      </c>
    </row>
    <row r="7" spans="1:8" x14ac:dyDescent="0.25">
      <c r="A7" s="6" t="s">
        <v>23</v>
      </c>
      <c r="B7" s="7">
        <v>45809</v>
      </c>
      <c r="C7" s="6" t="s">
        <v>9</v>
      </c>
      <c r="D7" s="6" t="s">
        <v>24</v>
      </c>
      <c r="E7" s="6">
        <v>48000</v>
      </c>
      <c r="F7" s="6" t="s">
        <v>11</v>
      </c>
      <c r="G7" s="5">
        <f t="shared" si="0"/>
        <v>1</v>
      </c>
      <c r="H7" t="str">
        <f t="shared" si="1"/>
        <v>OK</v>
      </c>
    </row>
    <row r="8" spans="1:8" x14ac:dyDescent="0.25">
      <c r="A8" s="6" t="s">
        <v>25</v>
      </c>
      <c r="B8" s="7">
        <v>45839</v>
      </c>
      <c r="C8" s="6" t="s">
        <v>14</v>
      </c>
      <c r="D8" s="6" t="s">
        <v>26</v>
      </c>
      <c r="E8" s="6">
        <v>130000</v>
      </c>
      <c r="F8" s="6" t="s">
        <v>11</v>
      </c>
      <c r="G8" s="5">
        <f t="shared" si="0"/>
        <v>1</v>
      </c>
      <c r="H8" t="str">
        <f t="shared" si="1"/>
        <v>OK</v>
      </c>
    </row>
    <row r="9" spans="1:8" x14ac:dyDescent="0.25">
      <c r="A9" s="6" t="s">
        <v>27</v>
      </c>
      <c r="B9" s="7">
        <v>45870</v>
      </c>
      <c r="C9" s="6" t="s">
        <v>17</v>
      </c>
      <c r="D9" s="6" t="s">
        <v>28</v>
      </c>
      <c r="E9" s="6">
        <v>150000</v>
      </c>
      <c r="F9" s="6" t="s">
        <v>19</v>
      </c>
      <c r="G9" s="5">
        <f t="shared" si="0"/>
        <v>1</v>
      </c>
      <c r="H9" t="str">
        <f t="shared" si="1"/>
        <v>OK</v>
      </c>
    </row>
    <row r="10" spans="1:8" x14ac:dyDescent="0.25">
      <c r="A10" s="6" t="s">
        <v>29</v>
      </c>
      <c r="B10" s="7">
        <v>45901</v>
      </c>
      <c r="C10" s="6" t="s">
        <v>9</v>
      </c>
      <c r="D10" s="6" t="s">
        <v>30</v>
      </c>
      <c r="E10" s="6">
        <v>50000</v>
      </c>
      <c r="F10" s="6" t="s">
        <v>11</v>
      </c>
      <c r="G10" s="5">
        <f t="shared" si="0"/>
        <v>1</v>
      </c>
      <c r="H10" t="str">
        <f t="shared" si="1"/>
        <v>OK</v>
      </c>
    </row>
    <row r="11" spans="1:8" x14ac:dyDescent="0.25">
      <c r="A11" s="6" t="s">
        <v>31</v>
      </c>
      <c r="B11" s="7">
        <v>45931</v>
      </c>
      <c r="C11" s="6" t="s">
        <v>32</v>
      </c>
      <c r="D11" s="6" t="s">
        <v>33</v>
      </c>
      <c r="E11" s="6">
        <v>75000</v>
      </c>
      <c r="F11" s="6" t="s">
        <v>11</v>
      </c>
      <c r="G11" s="5">
        <f t="shared" si="0"/>
        <v>1</v>
      </c>
      <c r="H11" t="str">
        <f t="shared" si="1"/>
        <v>OK</v>
      </c>
    </row>
    <row r="12" spans="1:8" x14ac:dyDescent="0.25">
      <c r="A12" s="6" t="s">
        <v>34</v>
      </c>
      <c r="B12" s="7">
        <v>45962</v>
      </c>
      <c r="C12" s="6" t="s">
        <v>32</v>
      </c>
      <c r="D12" s="6" t="s">
        <v>35</v>
      </c>
      <c r="E12" s="6">
        <v>76000</v>
      </c>
      <c r="F12" s="6" t="s">
        <v>11</v>
      </c>
      <c r="G12" s="5">
        <f t="shared" si="0"/>
        <v>1</v>
      </c>
      <c r="H12" t="str">
        <f t="shared" si="1"/>
        <v>OK</v>
      </c>
    </row>
    <row r="13" spans="1:8" x14ac:dyDescent="0.25">
      <c r="A13" s="6" t="s">
        <v>36</v>
      </c>
      <c r="B13" s="7">
        <v>45992</v>
      </c>
      <c r="C13" s="6" t="s">
        <v>32</v>
      </c>
      <c r="D13" s="6" t="s">
        <v>37</v>
      </c>
      <c r="E13" s="6">
        <v>77000</v>
      </c>
      <c r="F13" s="6" t="s">
        <v>11</v>
      </c>
      <c r="G13" s="5">
        <f t="shared" si="0"/>
        <v>1</v>
      </c>
      <c r="H13" t="str">
        <f t="shared" si="1"/>
        <v>OK</v>
      </c>
    </row>
    <row r="14" spans="1:8" x14ac:dyDescent="0.25">
      <c r="A14" s="6" t="s">
        <v>38</v>
      </c>
      <c r="B14" s="6" t="s">
        <v>39</v>
      </c>
      <c r="C14" s="6" t="s">
        <v>14</v>
      </c>
      <c r="D14" s="6" t="s">
        <v>40</v>
      </c>
      <c r="E14" s="6">
        <v>49000</v>
      </c>
      <c r="F14" s="6" t="s">
        <v>11</v>
      </c>
      <c r="G14" s="5">
        <f t="shared" si="0"/>
        <v>2</v>
      </c>
      <c r="H14" t="str">
        <f t="shared" si="1"/>
        <v>DUPLICATE</v>
      </c>
    </row>
    <row r="15" spans="1:8" x14ac:dyDescent="0.25">
      <c r="A15" s="6" t="s">
        <v>41</v>
      </c>
      <c r="B15" s="6" t="s">
        <v>42</v>
      </c>
      <c r="C15" s="6" t="s">
        <v>14</v>
      </c>
      <c r="D15" s="6" t="s">
        <v>40</v>
      </c>
      <c r="E15" s="6">
        <v>49000</v>
      </c>
      <c r="F15" s="6" t="s">
        <v>11</v>
      </c>
      <c r="G15" s="5">
        <f t="shared" si="0"/>
        <v>2</v>
      </c>
      <c r="H15" t="str">
        <f t="shared" si="1"/>
        <v>DUPLICATE</v>
      </c>
    </row>
    <row r="16" spans="1:8" x14ac:dyDescent="0.25">
      <c r="A16" s="6" t="s">
        <v>43</v>
      </c>
      <c r="B16" s="6" t="s">
        <v>44</v>
      </c>
      <c r="C16" s="6" t="s">
        <v>21</v>
      </c>
      <c r="D16" s="6" t="s">
        <v>45</v>
      </c>
      <c r="E16" s="6">
        <v>15000</v>
      </c>
      <c r="F16" s="6" t="s">
        <v>11</v>
      </c>
      <c r="G16" s="5">
        <f t="shared" si="0"/>
        <v>1</v>
      </c>
      <c r="H16" t="str">
        <f t="shared" si="1"/>
        <v>OK</v>
      </c>
    </row>
    <row r="17" spans="1:8" x14ac:dyDescent="0.25">
      <c r="A17" s="6" t="s">
        <v>46</v>
      </c>
      <c r="B17" s="6" t="s">
        <v>47</v>
      </c>
      <c r="C17" s="6" t="s">
        <v>21</v>
      </c>
      <c r="D17" s="6" t="s">
        <v>48</v>
      </c>
      <c r="E17" s="6">
        <v>16000</v>
      </c>
      <c r="F17" s="6" t="s">
        <v>11</v>
      </c>
      <c r="G17" s="5">
        <f t="shared" si="0"/>
        <v>1</v>
      </c>
      <c r="H17" t="str">
        <f t="shared" si="1"/>
        <v>OK</v>
      </c>
    </row>
    <row r="18" spans="1:8" x14ac:dyDescent="0.25">
      <c r="A18" s="6" t="s">
        <v>49</v>
      </c>
      <c r="B18" s="6" t="s">
        <v>50</v>
      </c>
      <c r="C18" s="6" t="s">
        <v>17</v>
      </c>
      <c r="D18" s="6" t="s">
        <v>51</v>
      </c>
      <c r="E18" s="6">
        <v>200000</v>
      </c>
      <c r="F18" s="6" t="s">
        <v>19</v>
      </c>
      <c r="G18" s="5">
        <f t="shared" si="0"/>
        <v>1</v>
      </c>
      <c r="H18" t="str">
        <f t="shared" si="1"/>
        <v>OK</v>
      </c>
    </row>
    <row r="19" spans="1:8" x14ac:dyDescent="0.25">
      <c r="A19" s="6" t="s">
        <v>52</v>
      </c>
      <c r="B19" s="6" t="s">
        <v>53</v>
      </c>
      <c r="C19" s="6" t="s">
        <v>9</v>
      </c>
      <c r="D19" s="6" t="s">
        <v>54</v>
      </c>
      <c r="E19" s="6">
        <v>47000</v>
      </c>
      <c r="F19" s="6" t="s">
        <v>11</v>
      </c>
      <c r="G19" s="5">
        <f t="shared" si="0"/>
        <v>1</v>
      </c>
      <c r="H19" t="str">
        <f t="shared" si="1"/>
        <v>OK</v>
      </c>
    </row>
    <row r="20" spans="1:8" x14ac:dyDescent="0.25">
      <c r="A20" s="6" t="s">
        <v>55</v>
      </c>
      <c r="B20" s="6" t="s">
        <v>56</v>
      </c>
      <c r="C20" s="6" t="s">
        <v>9</v>
      </c>
      <c r="D20" s="6" t="s">
        <v>57</v>
      </c>
      <c r="E20" s="6">
        <v>46000</v>
      </c>
      <c r="F20" s="6" t="s">
        <v>11</v>
      </c>
      <c r="G20" s="5">
        <f t="shared" si="0"/>
        <v>1</v>
      </c>
      <c r="H20" t="str">
        <f t="shared" si="1"/>
        <v>OK</v>
      </c>
    </row>
    <row r="21" spans="1:8" x14ac:dyDescent="0.25">
      <c r="A21" s="6" t="s">
        <v>58</v>
      </c>
      <c r="B21" s="6" t="s">
        <v>59</v>
      </c>
      <c r="C21" s="6" t="s">
        <v>9</v>
      </c>
      <c r="D21" s="6" t="s">
        <v>60</v>
      </c>
      <c r="E21" s="6">
        <v>45000</v>
      </c>
      <c r="F21" s="6" t="s">
        <v>11</v>
      </c>
      <c r="G21" s="5">
        <f t="shared" si="0"/>
        <v>1</v>
      </c>
      <c r="H21" t="str">
        <f t="shared" si="1"/>
        <v>OK</v>
      </c>
    </row>
    <row r="22" spans="1:8" x14ac:dyDescent="0.25">
      <c r="A22" s="6" t="s">
        <v>61</v>
      </c>
      <c r="B22" s="6" t="s">
        <v>62</v>
      </c>
      <c r="C22" s="6" t="s">
        <v>14</v>
      </c>
      <c r="D22" s="6" t="s">
        <v>63</v>
      </c>
      <c r="E22" s="6">
        <v>300000</v>
      </c>
      <c r="F22" s="6" t="s">
        <v>11</v>
      </c>
      <c r="G22" s="5">
        <f t="shared" si="0"/>
        <v>1</v>
      </c>
      <c r="H22" t="str">
        <f t="shared" si="1"/>
        <v>OK</v>
      </c>
    </row>
    <row r="23" spans="1:8" x14ac:dyDescent="0.25">
      <c r="A23" s="6" t="s">
        <v>64</v>
      </c>
      <c r="B23" s="6" t="s">
        <v>65</v>
      </c>
      <c r="C23" s="6" t="s">
        <v>14</v>
      </c>
      <c r="D23" s="6" t="s">
        <v>66</v>
      </c>
      <c r="E23" s="6">
        <v>310000</v>
      </c>
      <c r="F23" s="6" t="s">
        <v>11</v>
      </c>
      <c r="G23" s="5">
        <f t="shared" si="0"/>
        <v>1</v>
      </c>
      <c r="H23" t="str">
        <f t="shared" si="1"/>
        <v>OK</v>
      </c>
    </row>
    <row r="24" spans="1:8" x14ac:dyDescent="0.25">
      <c r="A24" s="6" t="s">
        <v>67</v>
      </c>
      <c r="B24" s="6" t="s">
        <v>68</v>
      </c>
      <c r="C24" s="6" t="s">
        <v>14</v>
      </c>
      <c r="D24" s="6" t="s">
        <v>69</v>
      </c>
      <c r="E24" s="6">
        <v>320000</v>
      </c>
      <c r="F24" s="6" t="s">
        <v>11</v>
      </c>
      <c r="G24" s="5">
        <f t="shared" si="0"/>
        <v>1</v>
      </c>
      <c r="H24" t="str">
        <f t="shared" si="1"/>
        <v>OK</v>
      </c>
    </row>
    <row r="25" spans="1:8" x14ac:dyDescent="0.25">
      <c r="A25" s="6" t="s">
        <v>70</v>
      </c>
      <c r="B25" s="6" t="s">
        <v>71</v>
      </c>
      <c r="C25" s="6" t="s">
        <v>32</v>
      </c>
      <c r="D25" s="6" t="s">
        <v>72</v>
      </c>
      <c r="E25" s="6">
        <v>100000</v>
      </c>
      <c r="F25" s="6" t="s">
        <v>19</v>
      </c>
      <c r="G25" s="5">
        <f t="shared" si="0"/>
        <v>1</v>
      </c>
      <c r="H25" t="str">
        <f t="shared" si="1"/>
        <v>OK</v>
      </c>
    </row>
    <row r="26" spans="1:8" x14ac:dyDescent="0.25">
      <c r="A26" s="6" t="s">
        <v>73</v>
      </c>
      <c r="B26" s="6" t="s">
        <v>74</v>
      </c>
      <c r="C26" s="6" t="s">
        <v>32</v>
      </c>
      <c r="D26" s="6" t="s">
        <v>75</v>
      </c>
      <c r="E26" s="6">
        <v>100000</v>
      </c>
      <c r="F26" s="6" t="s">
        <v>19</v>
      </c>
      <c r="G26" s="5">
        <f t="shared" si="0"/>
        <v>1</v>
      </c>
      <c r="H26" t="str">
        <f t="shared" si="1"/>
        <v>OK</v>
      </c>
    </row>
    <row r="27" spans="1:8" x14ac:dyDescent="0.25">
      <c r="A27" s="6" t="s">
        <v>76</v>
      </c>
      <c r="B27" s="6" t="s">
        <v>77</v>
      </c>
      <c r="C27" s="6" t="s">
        <v>17</v>
      </c>
      <c r="D27" s="6" t="s">
        <v>78</v>
      </c>
      <c r="E27" s="6">
        <v>500000</v>
      </c>
      <c r="F27" s="6" t="s">
        <v>19</v>
      </c>
      <c r="G27" s="5">
        <f t="shared" si="0"/>
        <v>1</v>
      </c>
      <c r="H27" t="str">
        <f t="shared" si="1"/>
        <v>OK</v>
      </c>
    </row>
    <row r="28" spans="1:8" x14ac:dyDescent="0.25">
      <c r="A28" s="6" t="s">
        <v>79</v>
      </c>
      <c r="B28" s="6" t="s">
        <v>80</v>
      </c>
      <c r="C28" s="6" t="s">
        <v>9</v>
      </c>
      <c r="D28" s="6" t="s">
        <v>81</v>
      </c>
      <c r="E28" s="6">
        <v>49000</v>
      </c>
      <c r="F28" s="6" t="s">
        <v>11</v>
      </c>
      <c r="G28" s="5">
        <f t="shared" si="0"/>
        <v>1</v>
      </c>
      <c r="H28" t="str">
        <f t="shared" si="1"/>
        <v>OK</v>
      </c>
    </row>
    <row r="29" spans="1:8" x14ac:dyDescent="0.25">
      <c r="A29" s="6" t="s">
        <v>82</v>
      </c>
      <c r="B29" s="6" t="s">
        <v>83</v>
      </c>
      <c r="C29" s="6" t="s">
        <v>9</v>
      </c>
      <c r="D29" s="6" t="s">
        <v>84</v>
      </c>
      <c r="E29" s="6">
        <v>49500</v>
      </c>
      <c r="F29" s="6" t="s">
        <v>11</v>
      </c>
      <c r="G29" s="5">
        <f t="shared" si="0"/>
        <v>1</v>
      </c>
      <c r="H29" t="str">
        <f t="shared" si="1"/>
        <v>OK</v>
      </c>
    </row>
    <row r="30" spans="1:8" x14ac:dyDescent="0.25">
      <c r="A30" s="6" t="s">
        <v>85</v>
      </c>
      <c r="B30" s="6" t="s">
        <v>86</v>
      </c>
      <c r="C30" s="6" t="s">
        <v>21</v>
      </c>
      <c r="D30" s="6" t="s">
        <v>87</v>
      </c>
      <c r="E30" s="6">
        <v>12000</v>
      </c>
      <c r="F30" s="6" t="s">
        <v>11</v>
      </c>
      <c r="G30" s="5">
        <f t="shared" si="0"/>
        <v>1</v>
      </c>
      <c r="H30" t="str">
        <f t="shared" si="1"/>
        <v>OK</v>
      </c>
    </row>
    <row r="31" spans="1:8" x14ac:dyDescent="0.25">
      <c r="A31" s="6" t="s">
        <v>88</v>
      </c>
      <c r="B31" s="6" t="s">
        <v>89</v>
      </c>
      <c r="C31" s="6" t="s">
        <v>21</v>
      </c>
      <c r="D31" s="6" t="s">
        <v>90</v>
      </c>
      <c r="E31" s="6">
        <v>13000</v>
      </c>
      <c r="F31" s="6" t="s">
        <v>11</v>
      </c>
      <c r="G31" s="5">
        <f t="shared" si="0"/>
        <v>1</v>
      </c>
      <c r="H31" t="str">
        <f t="shared" si="1"/>
        <v>OK</v>
      </c>
    </row>
    <row r="32" spans="1:8" x14ac:dyDescent="0.25">
      <c r="A32" s="6" t="s">
        <v>91</v>
      </c>
      <c r="B32" s="6" t="s">
        <v>92</v>
      </c>
      <c r="C32" s="6" t="s">
        <v>14</v>
      </c>
      <c r="D32" s="6" t="s">
        <v>93</v>
      </c>
      <c r="E32" s="6">
        <v>10000</v>
      </c>
      <c r="F32" s="6" t="s">
        <v>11</v>
      </c>
      <c r="G32" s="5">
        <f t="shared" si="0"/>
        <v>1</v>
      </c>
      <c r="H32" t="str">
        <f t="shared" si="1"/>
        <v>OK</v>
      </c>
    </row>
    <row r="33" spans="1:8" x14ac:dyDescent="0.25">
      <c r="A33" s="6" t="s">
        <v>94</v>
      </c>
      <c r="B33" s="7">
        <v>45659</v>
      </c>
      <c r="C33" s="6" t="s">
        <v>14</v>
      </c>
      <c r="D33" s="6" t="s">
        <v>95</v>
      </c>
      <c r="E33" s="6">
        <v>10000</v>
      </c>
      <c r="F33" s="6" t="s">
        <v>11</v>
      </c>
      <c r="G33" s="5">
        <f t="shared" si="0"/>
        <v>1</v>
      </c>
      <c r="H33" t="str">
        <f t="shared" si="1"/>
        <v>OK</v>
      </c>
    </row>
    <row r="34" spans="1:8" x14ac:dyDescent="0.25">
      <c r="A34" s="6" t="s">
        <v>96</v>
      </c>
      <c r="B34" s="7">
        <v>45690</v>
      </c>
      <c r="C34" s="6" t="s">
        <v>14</v>
      </c>
      <c r="D34" s="6" t="s">
        <v>97</v>
      </c>
      <c r="E34" s="6">
        <v>10000</v>
      </c>
      <c r="F34" s="6" t="s">
        <v>11</v>
      </c>
      <c r="G34" s="5">
        <f t="shared" si="0"/>
        <v>1</v>
      </c>
      <c r="H34" t="str">
        <f t="shared" si="1"/>
        <v>OK</v>
      </c>
    </row>
    <row r="35" spans="1:8" x14ac:dyDescent="0.25">
      <c r="A35" s="6" t="s">
        <v>98</v>
      </c>
      <c r="B35" s="7">
        <v>45718</v>
      </c>
      <c r="C35" s="6" t="s">
        <v>14</v>
      </c>
      <c r="D35" s="6" t="s">
        <v>99</v>
      </c>
      <c r="E35" s="6">
        <v>10000</v>
      </c>
      <c r="F35" s="6" t="s">
        <v>11</v>
      </c>
      <c r="G35" s="5">
        <f t="shared" si="0"/>
        <v>1</v>
      </c>
      <c r="H35" t="str">
        <f t="shared" si="1"/>
        <v>OK</v>
      </c>
    </row>
    <row r="36" spans="1:8" x14ac:dyDescent="0.25">
      <c r="A36" s="6" t="s">
        <v>100</v>
      </c>
      <c r="B36" s="7">
        <v>45749</v>
      </c>
      <c r="C36" s="6" t="s">
        <v>17</v>
      </c>
      <c r="D36" s="6" t="s">
        <v>101</v>
      </c>
      <c r="E36" s="6">
        <v>90000</v>
      </c>
      <c r="F36" s="6" t="s">
        <v>19</v>
      </c>
      <c r="G36" s="5">
        <f t="shared" si="0"/>
        <v>1</v>
      </c>
      <c r="H36" t="str">
        <f t="shared" si="1"/>
        <v>OK</v>
      </c>
    </row>
    <row r="37" spans="1:8" x14ac:dyDescent="0.25">
      <c r="A37" s="6" t="s">
        <v>102</v>
      </c>
      <c r="B37" s="7">
        <v>45779</v>
      </c>
      <c r="C37" s="6" t="s">
        <v>17</v>
      </c>
      <c r="D37" s="6" t="s">
        <v>103</v>
      </c>
      <c r="E37" s="6">
        <v>95000</v>
      </c>
      <c r="F37" s="6" t="s">
        <v>19</v>
      </c>
      <c r="G37" s="5">
        <f t="shared" si="0"/>
        <v>1</v>
      </c>
      <c r="H37" t="str">
        <f t="shared" si="1"/>
        <v>OK</v>
      </c>
    </row>
    <row r="38" spans="1:8" x14ac:dyDescent="0.25">
      <c r="A38" s="6" t="s">
        <v>104</v>
      </c>
      <c r="B38" s="7">
        <v>45810</v>
      </c>
      <c r="C38" s="6" t="s">
        <v>17</v>
      </c>
      <c r="D38" s="6" t="s">
        <v>105</v>
      </c>
      <c r="E38" s="6">
        <v>98000</v>
      </c>
      <c r="F38" s="6" t="s">
        <v>19</v>
      </c>
      <c r="G38" s="5">
        <f t="shared" si="0"/>
        <v>1</v>
      </c>
      <c r="H38" t="str">
        <f t="shared" si="1"/>
        <v>OK</v>
      </c>
    </row>
    <row r="39" spans="1:8" x14ac:dyDescent="0.25">
      <c r="A39" s="6" t="s">
        <v>106</v>
      </c>
      <c r="B39" s="7">
        <v>45840</v>
      </c>
      <c r="C39" s="6" t="s">
        <v>9</v>
      </c>
      <c r="D39" s="6" t="s">
        <v>107</v>
      </c>
      <c r="E39" s="6">
        <v>1000</v>
      </c>
      <c r="F39" s="6" t="s">
        <v>11</v>
      </c>
      <c r="G39" s="5">
        <f t="shared" si="0"/>
        <v>1</v>
      </c>
      <c r="H39" t="str">
        <f t="shared" si="1"/>
        <v>OK</v>
      </c>
    </row>
    <row r="40" spans="1:8" x14ac:dyDescent="0.25">
      <c r="A40" s="6" t="s">
        <v>108</v>
      </c>
      <c r="B40" s="7">
        <v>45871</v>
      </c>
      <c r="C40" s="6" t="s">
        <v>9</v>
      </c>
      <c r="D40" s="6" t="s">
        <v>109</v>
      </c>
      <c r="E40" s="6">
        <v>1000</v>
      </c>
      <c r="F40" s="6" t="s">
        <v>11</v>
      </c>
      <c r="G40" s="5">
        <f t="shared" si="0"/>
        <v>1</v>
      </c>
      <c r="H40" t="str">
        <f t="shared" si="1"/>
        <v>OK</v>
      </c>
    </row>
    <row r="41" spans="1:8" x14ac:dyDescent="0.25">
      <c r="A41" s="6" t="s">
        <v>110</v>
      </c>
      <c r="B41" s="7">
        <v>45902</v>
      </c>
      <c r="C41" s="6" t="s">
        <v>9</v>
      </c>
      <c r="D41" s="6" t="s">
        <v>111</v>
      </c>
      <c r="E41" s="6">
        <v>1000</v>
      </c>
      <c r="F41" s="6" t="s">
        <v>11</v>
      </c>
      <c r="G41" s="5">
        <f t="shared" si="0"/>
        <v>1</v>
      </c>
      <c r="H41" t="str">
        <f t="shared" si="1"/>
        <v>OK</v>
      </c>
    </row>
    <row r="42" spans="1:8" x14ac:dyDescent="0.25">
      <c r="A42" s="6" t="s">
        <v>112</v>
      </c>
      <c r="B42" s="7">
        <v>45932</v>
      </c>
      <c r="C42" s="6" t="s">
        <v>32</v>
      </c>
      <c r="D42" s="6" t="s">
        <v>113</v>
      </c>
      <c r="E42" s="6">
        <v>250000</v>
      </c>
      <c r="F42" s="6" t="s">
        <v>11</v>
      </c>
      <c r="G42" s="5">
        <f t="shared" si="0"/>
        <v>1</v>
      </c>
      <c r="H42" t="str">
        <f t="shared" si="1"/>
        <v>OK</v>
      </c>
    </row>
    <row r="43" spans="1:8" x14ac:dyDescent="0.25">
      <c r="A43" s="6" t="s">
        <v>114</v>
      </c>
      <c r="B43" s="7">
        <v>45963</v>
      </c>
      <c r="C43" s="6" t="s">
        <v>32</v>
      </c>
      <c r="D43" s="6" t="s">
        <v>115</v>
      </c>
      <c r="E43" s="6">
        <v>260000</v>
      </c>
      <c r="F43" s="6" t="s">
        <v>11</v>
      </c>
      <c r="G43" s="5">
        <f t="shared" si="0"/>
        <v>1</v>
      </c>
      <c r="H43" t="str">
        <f t="shared" si="1"/>
        <v>OK</v>
      </c>
    </row>
    <row r="44" spans="1:8" x14ac:dyDescent="0.25">
      <c r="A44" s="6" t="s">
        <v>116</v>
      </c>
      <c r="B44" s="7">
        <v>45993</v>
      </c>
      <c r="C44" s="6" t="s">
        <v>32</v>
      </c>
      <c r="D44" s="6" t="s">
        <v>117</v>
      </c>
      <c r="E44" s="6">
        <v>270000</v>
      </c>
      <c r="F44" s="6" t="s">
        <v>11</v>
      </c>
      <c r="G44" s="5">
        <f t="shared" si="0"/>
        <v>1</v>
      </c>
      <c r="H44" t="str">
        <f t="shared" si="1"/>
        <v>OK</v>
      </c>
    </row>
    <row r="45" spans="1:8" x14ac:dyDescent="0.25">
      <c r="A45" s="6" t="s">
        <v>118</v>
      </c>
      <c r="B45" s="6" t="s">
        <v>119</v>
      </c>
      <c r="C45" s="6" t="s">
        <v>21</v>
      </c>
      <c r="D45" s="6" t="s">
        <v>120</v>
      </c>
      <c r="E45" s="6">
        <v>5000</v>
      </c>
      <c r="F45" s="6" t="s">
        <v>11</v>
      </c>
      <c r="G45" s="5">
        <f t="shared" si="0"/>
        <v>1</v>
      </c>
      <c r="H45" t="str">
        <f t="shared" si="1"/>
        <v>OK</v>
      </c>
    </row>
    <row r="46" spans="1:8" x14ac:dyDescent="0.25">
      <c r="A46" s="6" t="s">
        <v>121</v>
      </c>
      <c r="B46" s="6" t="s">
        <v>122</v>
      </c>
      <c r="C46" s="6" t="s">
        <v>21</v>
      </c>
      <c r="D46" s="6" t="s">
        <v>123</v>
      </c>
      <c r="E46" s="6">
        <v>5000</v>
      </c>
      <c r="F46" s="6" t="s">
        <v>11</v>
      </c>
      <c r="G46" s="5">
        <f t="shared" si="0"/>
        <v>1</v>
      </c>
      <c r="H46" t="str">
        <f t="shared" si="1"/>
        <v>OK</v>
      </c>
    </row>
    <row r="47" spans="1:8" x14ac:dyDescent="0.25">
      <c r="A47" s="6" t="s">
        <v>124</v>
      </c>
      <c r="B47" s="6" t="s">
        <v>125</v>
      </c>
      <c r="C47" s="6" t="s">
        <v>21</v>
      </c>
      <c r="D47" s="6" t="s">
        <v>126</v>
      </c>
      <c r="E47" s="6">
        <v>5000</v>
      </c>
      <c r="F47" s="6" t="s">
        <v>11</v>
      </c>
      <c r="G47" s="5">
        <f t="shared" si="0"/>
        <v>1</v>
      </c>
      <c r="H47" t="str">
        <f t="shared" si="1"/>
        <v>OK</v>
      </c>
    </row>
    <row r="48" spans="1:8" x14ac:dyDescent="0.25">
      <c r="A48" s="6" t="s">
        <v>127</v>
      </c>
      <c r="B48" s="6" t="s">
        <v>128</v>
      </c>
      <c r="C48" s="6" t="s">
        <v>14</v>
      </c>
      <c r="D48" s="6" t="s">
        <v>129</v>
      </c>
      <c r="E48" s="6">
        <v>450000</v>
      </c>
      <c r="F48" s="6" t="s">
        <v>11</v>
      </c>
      <c r="G48" s="5">
        <f t="shared" si="0"/>
        <v>1</v>
      </c>
      <c r="H48" t="str">
        <f t="shared" si="1"/>
        <v>OK</v>
      </c>
    </row>
    <row r="49" spans="1:8" x14ac:dyDescent="0.25">
      <c r="A49" s="6" t="s">
        <v>130</v>
      </c>
      <c r="B49" s="6" t="s">
        <v>131</v>
      </c>
      <c r="C49" s="6" t="s">
        <v>14</v>
      </c>
      <c r="D49" s="6" t="s">
        <v>132</v>
      </c>
      <c r="E49" s="6">
        <v>470000</v>
      </c>
      <c r="F49" s="6" t="s">
        <v>11</v>
      </c>
      <c r="G49" s="5">
        <f t="shared" si="0"/>
        <v>1</v>
      </c>
      <c r="H49" t="str">
        <f t="shared" si="1"/>
        <v>OK</v>
      </c>
    </row>
    <row r="50" spans="1:8" x14ac:dyDescent="0.25">
      <c r="A50" s="6" t="s">
        <v>133</v>
      </c>
      <c r="B50" s="6" t="s">
        <v>134</v>
      </c>
      <c r="C50" s="6" t="s">
        <v>17</v>
      </c>
      <c r="D50" s="6" t="s">
        <v>135</v>
      </c>
      <c r="E50" s="6">
        <v>600000</v>
      </c>
      <c r="F50" s="6" t="s">
        <v>19</v>
      </c>
      <c r="G50" s="5">
        <f t="shared" si="0"/>
        <v>1</v>
      </c>
      <c r="H50" t="str">
        <f t="shared" si="1"/>
        <v>OK</v>
      </c>
    </row>
    <row r="51" spans="1:8" x14ac:dyDescent="0.25">
      <c r="A51" s="6" t="s">
        <v>136</v>
      </c>
      <c r="B51" s="6" t="s">
        <v>137</v>
      </c>
      <c r="C51" s="6" t="s">
        <v>17</v>
      </c>
      <c r="D51" s="6" t="s">
        <v>138</v>
      </c>
      <c r="E51" s="6">
        <v>650000</v>
      </c>
      <c r="F51" s="6" t="s">
        <v>19</v>
      </c>
      <c r="G51" s="5">
        <f t="shared" si="0"/>
        <v>1</v>
      </c>
      <c r="H51" t="str">
        <f t="shared" si="1"/>
        <v>OK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1A8C-FDD4-4216-8959-B22F9479A6B7}">
  <dimension ref="A1:K17"/>
  <sheetViews>
    <sheetView tabSelected="1" workbookViewId="0">
      <selection activeCell="M7" sqref="M7"/>
    </sheetView>
  </sheetViews>
  <sheetFormatPr defaultRowHeight="15" x14ac:dyDescent="0.25"/>
  <sheetData>
    <row r="1" spans="1:11" ht="24" x14ac:dyDescent="0.25">
      <c r="A1" s="1" t="s">
        <v>0</v>
      </c>
      <c r="K1" t="s">
        <v>148</v>
      </c>
    </row>
    <row r="2" spans="1:11" x14ac:dyDescent="0.25">
      <c r="A2" s="2"/>
    </row>
    <row r="3" spans="1:11" ht="18" x14ac:dyDescent="0.25">
      <c r="A3" s="3" t="s">
        <v>1</v>
      </c>
    </row>
    <row r="4" spans="1:11" x14ac:dyDescent="0.25">
      <c r="A4" s="4"/>
    </row>
    <row r="5" spans="1:11" ht="18.75" x14ac:dyDescent="0.3">
      <c r="A5" s="9" t="s">
        <v>139</v>
      </c>
      <c r="B5" s="10"/>
    </row>
    <row r="6" spans="1:11" ht="18.75" x14ac:dyDescent="0.3">
      <c r="A6" s="9"/>
      <c r="B6" s="10"/>
    </row>
    <row r="7" spans="1:11" ht="18.75" x14ac:dyDescent="0.3">
      <c r="A7" s="9" t="s">
        <v>140</v>
      </c>
      <c r="B7" s="10"/>
    </row>
    <row r="8" spans="1:11" ht="18.75" x14ac:dyDescent="0.3">
      <c r="A8" s="9"/>
      <c r="B8" s="10"/>
    </row>
    <row r="9" spans="1:11" ht="18.75" x14ac:dyDescent="0.3">
      <c r="A9" s="9" t="s">
        <v>141</v>
      </c>
      <c r="B9" s="10"/>
    </row>
    <row r="10" spans="1:11" ht="18.75" x14ac:dyDescent="0.3">
      <c r="A10" s="9"/>
      <c r="B10" s="10"/>
    </row>
    <row r="11" spans="1:11" ht="18.75" x14ac:dyDescent="0.3">
      <c r="A11" s="9" t="s">
        <v>142</v>
      </c>
      <c r="B11" s="10"/>
    </row>
    <row r="12" spans="1:11" ht="18.75" x14ac:dyDescent="0.3">
      <c r="A12" s="9"/>
      <c r="B12" s="10"/>
    </row>
    <row r="13" spans="1:11" ht="18.75" x14ac:dyDescent="0.3">
      <c r="A13" s="9" t="s">
        <v>143</v>
      </c>
      <c r="B13" s="10"/>
    </row>
    <row r="14" spans="1:11" ht="18.75" x14ac:dyDescent="0.3">
      <c r="A14" s="9"/>
      <c r="B14" s="10"/>
    </row>
    <row r="15" spans="1:11" ht="18.75" x14ac:dyDescent="0.3">
      <c r="A15" s="9" t="s">
        <v>144</v>
      </c>
      <c r="B15" s="10"/>
    </row>
    <row r="16" spans="1:11" ht="18.75" x14ac:dyDescent="0.3">
      <c r="A16" s="9"/>
      <c r="B16" s="10"/>
    </row>
    <row r="17" spans="1:2" ht="18.75" x14ac:dyDescent="0.3">
      <c r="A17" s="9" t="s">
        <v>145</v>
      </c>
      <c r="B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Kamat</dc:creator>
  <cp:lastModifiedBy>Amit Kamat</cp:lastModifiedBy>
  <dcterms:created xsi:type="dcterms:W3CDTF">2026-01-20T13:14:13Z</dcterms:created>
  <dcterms:modified xsi:type="dcterms:W3CDTF">2026-01-20T13:39:56Z</dcterms:modified>
</cp:coreProperties>
</file>