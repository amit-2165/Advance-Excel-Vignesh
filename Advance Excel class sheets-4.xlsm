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E\1-Advance Excel-Vignesh Subrama\"/>
    </mc:Choice>
  </mc:AlternateContent>
  <xr:revisionPtr revIDLastSave="0" documentId="13_ncr:1_{1CEB3AB5-C7A6-4E25-B865-4DD33355C2B6}" xr6:coauthVersionLast="47" xr6:coauthVersionMax="47" xr10:uidLastSave="{00000000-0000-0000-0000-000000000000}"/>
  <bookViews>
    <workbookView xWindow="-120" yWindow="-120" windowWidth="20730" windowHeight="11160" tabRatio="719" activeTab="6" xr2:uid="{8870D360-3F73-4EF3-B89A-C2154029B8C7}"/>
  </bookViews>
  <sheets>
    <sheet name="Chart" sheetId="1" r:id="rId1"/>
    <sheet name="Excel-ppt connection" sheetId="2" r:id="rId2"/>
    <sheet name="Sparklines" sheetId="3" r:id="rId3"/>
    <sheet name="Macro" sheetId="4" r:id="rId4"/>
    <sheet name="Exampel Macro" sheetId="9" r:id="rId5"/>
    <sheet name="Sheet1" sheetId="6" r:id="rId6"/>
    <sheet name="Sheet3" sheetId="7" r:id="rId7"/>
    <sheet name="New Features" sheetId="5" r:id="rId8"/>
    <sheet name="Shortcuts" sheetId="8" r:id="rId9"/>
  </sheets>
  <definedNames>
    <definedName name="_xlnm._FilterDatabase" localSheetId="8" hidden="1">Shortcuts!$I$2:$K$2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7" l="1"/>
  <c r="J13" i="7"/>
  <c r="J3" i="8"/>
  <c r="J4" i="8"/>
  <c r="J5" i="8"/>
  <c r="J6" i="8"/>
  <c r="J7" i="8"/>
  <c r="J8" i="8"/>
  <c r="J9" i="8"/>
  <c r="J10" i="8"/>
  <c r="J11" i="8"/>
  <c r="J12" i="8"/>
  <c r="J13" i="8"/>
  <c r="J14" i="8"/>
  <c r="I13" i="9"/>
  <c r="I12" i="9"/>
  <c r="J2" i="8"/>
  <c r="B29" i="5"/>
  <c r="B30" i="5"/>
  <c r="AE3" i="5" a="1"/>
  <c r="AE3" i="5" s="1"/>
  <c r="AG3" i="5" a="1"/>
  <c r="AG3" i="5" s="1"/>
  <c r="Z10" i="5"/>
  <c r="Z11" i="5"/>
  <c r="Z12" i="5"/>
  <c r="Z9" i="5"/>
  <c r="Z18" i="5"/>
  <c r="Z22" i="5"/>
  <c r="Z20" i="5"/>
  <c r="Z24" i="5"/>
  <c r="Z19" i="5"/>
  <c r="Z23" i="5"/>
  <c r="Z21" i="5"/>
  <c r="Z17" i="5"/>
  <c r="Z16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<sst xmlns="http://schemas.openxmlformats.org/spreadsheetml/2006/main" count="436" uniqueCount="284">
  <si>
    <t>Using and Formatting chart</t>
  </si>
  <si>
    <t>Month</t>
  </si>
  <si>
    <t>Computer</t>
  </si>
  <si>
    <t>Washing Machine</t>
  </si>
  <si>
    <t>Air conditioners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</si>
  <si>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</si>
  <si>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</si>
  <si>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</si>
  <si>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</si>
  <si>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</si>
  <si>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</si>
  <si>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</si>
  <si>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</si>
  <si>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</si>
  <si>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</si>
  <si>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</si>
  <si>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</si>
  <si>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Line Chart</t>
  </si>
  <si>
    <t>Doughnut Chart</t>
  </si>
  <si>
    <t>3D Bar Chart</t>
  </si>
  <si>
    <t>Using Secondary Axis in Graphs</t>
  </si>
  <si>
    <t>select the line</t>
  </si>
  <si>
    <t>right click</t>
  </si>
  <si>
    <t>select secondary axis</t>
  </si>
  <si>
    <t>Bar chart and line chart together</t>
  </si>
  <si>
    <t>select the table</t>
  </si>
  <si>
    <t>go to insert</t>
  </si>
  <si>
    <t>click on recommended charts</t>
  </si>
  <si>
    <t>select all chart option</t>
  </si>
  <si>
    <t>select combo</t>
  </si>
  <si>
    <t>select chart type</t>
  </si>
  <si>
    <t>tick the secondary axis</t>
  </si>
  <si>
    <t>go power point</t>
  </si>
  <si>
    <t>select insert tab</t>
  </si>
  <si>
    <t>go text group</t>
  </si>
  <si>
    <t>select object</t>
  </si>
  <si>
    <t>create from file</t>
  </si>
  <si>
    <t>click on link</t>
  </si>
  <si>
    <t>Using excel with power point to display chart</t>
  </si>
  <si>
    <t>Using excel with Ms Words to display chart</t>
  </si>
  <si>
    <t>Sales (Product A)</t>
  </si>
  <si>
    <t>Sales (Product B)</t>
  </si>
  <si>
    <t>Sales (Product C)</t>
  </si>
  <si>
    <t xml:space="preserve">Sparkline </t>
  </si>
  <si>
    <t>Column sparkline</t>
  </si>
  <si>
    <t>select fromat data point</t>
  </si>
  <si>
    <t>1. Select the data you want to use for your chart</t>
  </si>
  <si>
    <t>2. Click Insert</t>
  </si>
  <si>
    <t>3. Click Recommended Charts</t>
  </si>
  <si>
    <t>4. Select a chart on the Recommended Charts tab</t>
  </si>
  <si>
    <t>go to insert tab</t>
  </si>
  <si>
    <t>go to sparklines group</t>
  </si>
  <si>
    <t>select line/column/win-loss</t>
  </si>
  <si>
    <t>select data range</t>
  </si>
  <si>
    <t>Win-loss sparkline</t>
  </si>
  <si>
    <t>Create a Macro in Excel</t>
  </si>
  <si>
    <t>Right click anywhere on the ribbon, and then click Customize the Ribbon</t>
  </si>
  <si>
    <t>Under Customize the Ribbon, on the right side of the dialog box, select Main tabs (if necessary).</t>
  </si>
  <si>
    <t>Check the Developer check box.</t>
  </si>
  <si>
    <t> Click OK.</t>
  </si>
  <si>
    <t>You can find the Developer tab next to the View tab.</t>
  </si>
  <si>
    <t>Command Button</t>
  </si>
  <si>
    <t>In the ActiveX Controls group, click Command Button.</t>
  </si>
  <si>
    <t>Right click CommandButton1 (make sure Design Mode is selected).</t>
  </si>
  <si>
    <t>Click View Code.</t>
  </si>
  <si>
    <t xml:space="preserve">On the Developer tab, click insert. </t>
  </si>
  <si>
    <t>Visual Basic Editor</t>
  </si>
  <si>
    <t xml:space="preserve">On the Developer tab, click on visual basic. </t>
  </si>
  <si>
    <t>The Visual Basic Editor appears.</t>
  </si>
  <si>
    <t>Stop recording.</t>
  </si>
  <si>
    <t>go to the Developer tab.</t>
  </si>
  <si>
    <t>Click Use Relative References</t>
  </si>
  <si>
    <t>Click Record Macro, give it a name (e.g., "CopyDown"), and start recording</t>
  </si>
  <si>
    <t>Press Ctrl + C to copy the current cell</t>
  </si>
  <si>
    <t>Press the Down Arrow key to move to the cell below.</t>
  </si>
  <si>
    <t>Press Ctrl + V to paste the value.</t>
  </si>
  <si>
    <t>relative references</t>
  </si>
  <si>
    <t>Absolute Macro</t>
  </si>
  <si>
    <t>adjusts its actions based on the currently selected cell when it runs</t>
  </si>
  <si>
    <t>always performs actions on the exact same cell(s) it was recorded on</t>
  </si>
  <si>
    <t>Select the table</t>
  </si>
  <si>
    <t>select the chart as per your need</t>
  </si>
  <si>
    <t>AI-aided formula editor</t>
  </si>
  <si>
    <t>Go to Customize Quick Access tool bar</t>
  </si>
  <si>
    <t>Select all commands</t>
  </si>
  <si>
    <t>than select add-ins[insert add-in]</t>
  </si>
  <si>
    <t>go to add-in and select store</t>
  </si>
  <si>
    <t xml:space="preserve">search </t>
  </si>
  <si>
    <t>AI-aided Formula Editor and add it</t>
  </si>
  <si>
    <t>Upload data from image</t>
  </si>
  <si>
    <t>JUNE</t>
  </si>
  <si>
    <t>M</t>
  </si>
  <si>
    <t>T</t>
  </si>
  <si>
    <t>w</t>
  </si>
  <si>
    <t>F</t>
  </si>
  <si>
    <t>s</t>
  </si>
  <si>
    <t>9 10 11 12 13 14 15</t>
  </si>
  <si>
    <t>16 17 18 19 20 21 22</t>
  </si>
  <si>
    <t>23 24 25 26 27 28 29</t>
  </si>
  <si>
    <t>Go to data tab</t>
  </si>
  <si>
    <t>Go to get data</t>
  </si>
  <si>
    <t>select from other sources</t>
  </si>
  <si>
    <t>select from picture</t>
  </si>
  <si>
    <t>insert and insert anyway</t>
  </si>
  <si>
    <t>fill colour</t>
  </si>
  <si>
    <t>High contrast only</t>
  </si>
  <si>
    <t>Checkbox</t>
  </si>
  <si>
    <t>Num1</t>
  </si>
  <si>
    <t>Num2</t>
  </si>
  <si>
    <t>Num3</t>
  </si>
  <si>
    <t>Focus cell</t>
  </si>
  <si>
    <t>select focus cell</t>
  </si>
  <si>
    <t>clik on cell need focus</t>
  </si>
  <si>
    <t>Go to insert</t>
  </si>
  <si>
    <t>select checkbox</t>
  </si>
  <si>
    <t>Go view tab</t>
  </si>
  <si>
    <t>Apple-50</t>
  </si>
  <si>
    <t>Banana-100</t>
  </si>
  <si>
    <t>Orange-600</t>
  </si>
  <si>
    <t>Grapes-1000</t>
  </si>
  <si>
    <t>Item</t>
  </si>
  <si>
    <t>TextAfter</t>
  </si>
  <si>
    <t>hello world</t>
  </si>
  <si>
    <t>Translate</t>
  </si>
  <si>
    <t>Apple 🍏</t>
  </si>
  <si>
    <t>Banana 🍌</t>
  </si>
  <si>
    <t>Mango 🥭</t>
  </si>
  <si>
    <t>Orange 🍊</t>
  </si>
  <si>
    <t>Grapes 🍇</t>
  </si>
  <si>
    <t>Pineapple 🍍</t>
  </si>
  <si>
    <t>Strawberry 🍓</t>
  </si>
  <si>
    <t>Watermelon</t>
  </si>
  <si>
    <t>XLOOKUP</t>
  </si>
  <si>
    <t>copy from left</t>
  </si>
  <si>
    <t>copy from right</t>
  </si>
  <si>
    <t>Drag The column</t>
  </si>
  <si>
    <t>python</t>
  </si>
  <si>
    <t>copilot</t>
  </si>
  <si>
    <t>Image</t>
  </si>
  <si>
    <r>
      <t>Rohit Sharma</t>
    </r>
    <r>
      <rPr>
        <sz val="11"/>
        <color theme="1"/>
        <rFont val="Aptos Narrow"/>
        <family val="2"/>
        <scheme val="minor"/>
      </rPr>
      <t xml:space="preserve"> (Captain)</t>
    </r>
  </si>
  <si>
    <r>
      <t>Shubman Gill</t>
    </r>
    <r>
      <rPr>
        <sz val="11"/>
        <color theme="1"/>
        <rFont val="Aptos Narrow"/>
        <family val="2"/>
        <scheme val="minor"/>
      </rPr>
      <t xml:space="preserve"> (Vice-captain)</t>
    </r>
  </si>
  <si>
    <t>Virat Kohli</t>
  </si>
  <si>
    <t>Shreyas Iyer</t>
  </si>
  <si>
    <r>
      <t>KL Rahul</t>
    </r>
    <r>
      <rPr>
        <sz val="11"/>
        <color theme="1"/>
        <rFont val="Aptos Narrow"/>
        <family val="2"/>
        <scheme val="minor"/>
      </rPr>
      <t xml:space="preserve"> (Wicketkeeper)</t>
    </r>
  </si>
  <si>
    <r>
      <t>Rishabh Pant</t>
    </r>
    <r>
      <rPr>
        <sz val="11"/>
        <color theme="1"/>
        <rFont val="Aptos Narrow"/>
        <family val="2"/>
        <scheme val="minor"/>
      </rPr>
      <t xml:space="preserve"> (Wicketkeeper)</t>
    </r>
  </si>
  <si>
    <t>Hardik Pandya</t>
  </si>
  <si>
    <t>Axar Patel</t>
  </si>
  <si>
    <t>Washington Sundar</t>
  </si>
  <si>
    <t>Kuldeep Yadav</t>
  </si>
  <si>
    <t>Harshit Rana</t>
  </si>
  <si>
    <t>Mohammed Shami</t>
  </si>
  <si>
    <t>Arshdeep Singh</t>
  </si>
  <si>
    <t>Ravindra Jadeja</t>
  </si>
  <si>
    <t>Varun Chakaravarthy</t>
  </si>
  <si>
    <t>indian cricket team list 2025</t>
  </si>
  <si>
    <t>Range("h7:h10").Value = "Hello world"</t>
  </si>
  <si>
    <t>Amit</t>
  </si>
  <si>
    <t>Name</t>
  </si>
  <si>
    <t>ID</t>
  </si>
  <si>
    <t>sumit</t>
  </si>
  <si>
    <t>Sirname</t>
  </si>
  <si>
    <t>city</t>
  </si>
  <si>
    <t>Priya</t>
  </si>
  <si>
    <t>Verma</t>
  </si>
  <si>
    <t>Raj</t>
  </si>
  <si>
    <t>Neha</t>
  </si>
  <si>
    <t>Kapoor</t>
  </si>
  <si>
    <t>Vikram</t>
  </si>
  <si>
    <t>Joshi</t>
  </si>
  <si>
    <t>Sneha</t>
  </si>
  <si>
    <t>Bansal</t>
  </si>
  <si>
    <t>Arjun</t>
  </si>
  <si>
    <t>Choudhary</t>
  </si>
  <si>
    <t>Pooja</t>
  </si>
  <si>
    <t>Malhotra</t>
  </si>
  <si>
    <t>Kunal</t>
  </si>
  <si>
    <t>Desai</t>
  </si>
  <si>
    <t>Riya</t>
  </si>
  <si>
    <t>Saxena</t>
  </si>
  <si>
    <t>Mumbai</t>
  </si>
  <si>
    <t>Delhi</t>
  </si>
  <si>
    <t>Bangalore</t>
  </si>
  <si>
    <t>Kolkata</t>
  </si>
  <si>
    <t>Chennai</t>
  </si>
  <si>
    <t>Hyderabad</t>
  </si>
  <si>
    <t>Pune</t>
  </si>
  <si>
    <t>Jaipur</t>
  </si>
  <si>
    <t>Ahmedabad</t>
  </si>
  <si>
    <t>Chandigarh</t>
  </si>
  <si>
    <t>kamat</t>
  </si>
  <si>
    <t>Kumar</t>
  </si>
  <si>
    <t>Paste as a Linked Chart (Recommended for Live Updates)</t>
  </si>
  <si>
    <t>In Excel, copy the chart.</t>
  </si>
  <si>
    <t>In PowerPoint, go to the slide where you want to paste.</t>
  </si>
  <si>
    <t>Click Paste Special (Ctrl + Alt + V or Home &gt; Paste &gt; Paste Special).</t>
  </si>
  <si>
    <t>Choose Paste Link &gt; Microsoft Excel Chart Object.</t>
  </si>
  <si>
    <t>Basic Shortcuts</t>
  </si>
  <si>
    <t>Navigation</t>
  </si>
  <si>
    <t>Formatting</t>
  </si>
  <si>
    <t>Working with Rows &amp; Columns</t>
  </si>
  <si>
    <t>Formulas</t>
  </si>
  <si>
    <t>Other Useful Shortcuts</t>
  </si>
  <si>
    <t xml:space="preserve"> = → Start a formula</t>
  </si>
  <si>
    <r>
      <t>Ctrl + N</t>
    </r>
    <r>
      <rPr>
        <sz val="11"/>
        <color rgb="FF0000CC"/>
        <rFont val="Aptos Narrow"/>
        <family val="2"/>
        <scheme val="minor"/>
      </rPr>
      <t xml:space="preserve"> → New workbook</t>
    </r>
  </si>
  <si>
    <r>
      <t>Ctrl + O</t>
    </r>
    <r>
      <rPr>
        <sz val="11"/>
        <color rgb="FF0000CC"/>
        <rFont val="Aptos Narrow"/>
        <family val="2"/>
        <scheme val="minor"/>
      </rPr>
      <t xml:space="preserve"> → Open workbook</t>
    </r>
  </si>
  <si>
    <r>
      <t>Ctrl + S</t>
    </r>
    <r>
      <rPr>
        <sz val="11"/>
        <color rgb="FF0000CC"/>
        <rFont val="Aptos Narrow"/>
        <family val="2"/>
        <scheme val="minor"/>
      </rPr>
      <t xml:space="preserve"> → Save workbook</t>
    </r>
  </si>
  <si>
    <r>
      <t>Ctrl + P</t>
    </r>
    <r>
      <rPr>
        <sz val="11"/>
        <color rgb="FF0000CC"/>
        <rFont val="Aptos Narrow"/>
        <family val="2"/>
        <scheme val="minor"/>
      </rPr>
      <t xml:space="preserve"> → Print</t>
    </r>
  </si>
  <si>
    <r>
      <t>Ctrl + Z</t>
    </r>
    <r>
      <rPr>
        <sz val="11"/>
        <color rgb="FF0000CC"/>
        <rFont val="Aptos Narrow"/>
        <family val="2"/>
        <scheme val="minor"/>
      </rPr>
      <t xml:space="preserve"> → Undo</t>
    </r>
  </si>
  <si>
    <r>
      <t>Ctrl + Y</t>
    </r>
    <r>
      <rPr>
        <sz val="11"/>
        <color rgb="FF0000CC"/>
        <rFont val="Aptos Narrow"/>
        <family val="2"/>
        <scheme val="minor"/>
      </rPr>
      <t xml:space="preserve"> → Redo</t>
    </r>
  </si>
  <si>
    <r>
      <t>Ctrl + X</t>
    </r>
    <r>
      <rPr>
        <sz val="11"/>
        <color rgb="FF0000CC"/>
        <rFont val="Aptos Narrow"/>
        <family val="2"/>
        <scheme val="minor"/>
      </rPr>
      <t xml:space="preserve"> → Cut</t>
    </r>
  </si>
  <si>
    <r>
      <t>Ctrl + C</t>
    </r>
    <r>
      <rPr>
        <sz val="11"/>
        <color rgb="FF0000CC"/>
        <rFont val="Aptos Narrow"/>
        <family val="2"/>
        <scheme val="minor"/>
      </rPr>
      <t xml:space="preserve"> → Copy</t>
    </r>
  </si>
  <si>
    <r>
      <t>Ctrl + V</t>
    </r>
    <r>
      <rPr>
        <sz val="11"/>
        <color rgb="FF0000CC"/>
        <rFont val="Aptos Narrow"/>
        <family val="2"/>
        <scheme val="minor"/>
      </rPr>
      <t xml:space="preserve"> → Paste</t>
    </r>
  </si>
  <si>
    <r>
      <t>Ctrl + A</t>
    </r>
    <r>
      <rPr>
        <sz val="11"/>
        <color rgb="FF0000CC"/>
        <rFont val="Aptos Narrow"/>
        <family val="2"/>
        <scheme val="minor"/>
      </rPr>
      <t xml:space="preserve"> → Select all</t>
    </r>
  </si>
  <si>
    <r>
      <t>Ctrl + F</t>
    </r>
    <r>
      <rPr>
        <sz val="11"/>
        <color rgb="FF0000CC"/>
        <rFont val="Aptos Narrow"/>
        <family val="2"/>
        <scheme val="minor"/>
      </rPr>
      <t xml:space="preserve"> → Find</t>
    </r>
  </si>
  <si>
    <r>
      <t>Ctrl + H</t>
    </r>
    <r>
      <rPr>
        <sz val="11"/>
        <color rgb="FF0000CC"/>
        <rFont val="Aptos Narrow"/>
        <family val="2"/>
        <scheme val="minor"/>
      </rPr>
      <t xml:space="preserve"> → Replace</t>
    </r>
  </si>
  <si>
    <r>
      <t>Arrow Keys</t>
    </r>
    <r>
      <rPr>
        <sz val="11"/>
        <color rgb="FF0000CC"/>
        <rFont val="Aptos Narrow"/>
        <family val="2"/>
        <scheme val="minor"/>
      </rPr>
      <t xml:space="preserve"> → Move between cells</t>
    </r>
  </si>
  <si>
    <r>
      <t>Ctrl + Arrow Key</t>
    </r>
    <r>
      <rPr>
        <sz val="11"/>
        <color rgb="FF0000CC"/>
        <rFont val="Aptos Narrow"/>
        <family val="2"/>
        <scheme val="minor"/>
      </rPr>
      <t xml:space="preserve"> → Jump to the edge of the data region</t>
    </r>
  </si>
  <si>
    <r>
      <t>Ctrl + Home</t>
    </r>
    <r>
      <rPr>
        <sz val="11"/>
        <color rgb="FF0000CC"/>
        <rFont val="Aptos Narrow"/>
        <family val="2"/>
        <scheme val="minor"/>
      </rPr>
      <t xml:space="preserve"> → Go to the first cell (A1)</t>
    </r>
  </si>
  <si>
    <r>
      <t>Ctrl + End</t>
    </r>
    <r>
      <rPr>
        <sz val="11"/>
        <color rgb="FF0000CC"/>
        <rFont val="Aptos Narrow"/>
        <family val="2"/>
        <scheme val="minor"/>
      </rPr>
      <t xml:space="preserve"> → Go to the last used cell</t>
    </r>
  </si>
  <si>
    <r>
      <t>Ctrl + B</t>
    </r>
    <r>
      <rPr>
        <sz val="11"/>
        <color rgb="FF0000CC"/>
        <rFont val="Aptos Narrow"/>
        <family val="2"/>
        <scheme val="minor"/>
      </rPr>
      <t xml:space="preserve"> → Bold</t>
    </r>
  </si>
  <si>
    <r>
      <t>Ctrl + I</t>
    </r>
    <r>
      <rPr>
        <sz val="11"/>
        <color rgb="FF0000CC"/>
        <rFont val="Aptos Narrow"/>
        <family val="2"/>
        <scheme val="minor"/>
      </rPr>
      <t xml:space="preserve"> → Italic</t>
    </r>
  </si>
  <si>
    <r>
      <t>Ctrl + U</t>
    </r>
    <r>
      <rPr>
        <sz val="11"/>
        <color rgb="FF0000CC"/>
        <rFont val="Aptos Narrow"/>
        <family val="2"/>
        <scheme val="minor"/>
      </rPr>
      <t xml:space="preserve"> → Underline</t>
    </r>
  </si>
  <si>
    <r>
      <t>Ctrl + 1</t>
    </r>
    <r>
      <rPr>
        <sz val="11"/>
        <color rgb="FF0000CC"/>
        <rFont val="Aptos Narrow"/>
        <family val="2"/>
        <scheme val="minor"/>
      </rPr>
      <t xml:space="preserve"> → Format cells</t>
    </r>
  </si>
  <si>
    <r>
      <t>Ctrl + Shift + $</t>
    </r>
    <r>
      <rPr>
        <sz val="11"/>
        <color rgb="FF0000CC"/>
        <rFont val="Aptos Narrow"/>
        <family val="2"/>
        <scheme val="minor"/>
      </rPr>
      <t xml:space="preserve"> → Currency format</t>
    </r>
  </si>
  <si>
    <r>
      <t>Ctrl + Shift + %</t>
    </r>
    <r>
      <rPr>
        <sz val="11"/>
        <color rgb="FF0000CC"/>
        <rFont val="Aptos Narrow"/>
        <family val="2"/>
        <scheme val="minor"/>
      </rPr>
      <t xml:space="preserve"> → Percentage format</t>
    </r>
  </si>
  <si>
    <r>
      <t>Ctrl + Shift + #</t>
    </r>
    <r>
      <rPr>
        <sz val="11"/>
        <color rgb="FF0000CC"/>
        <rFont val="Aptos Narrow"/>
        <family val="2"/>
        <scheme val="minor"/>
      </rPr>
      <t xml:space="preserve"> → Date format</t>
    </r>
  </si>
  <si>
    <r>
      <t>Ctrl + Space</t>
    </r>
    <r>
      <rPr>
        <sz val="11"/>
        <color rgb="FF0000CC"/>
        <rFont val="Aptos Narrow"/>
        <family val="2"/>
        <scheme val="minor"/>
      </rPr>
      <t xml:space="preserve"> → Select entire column</t>
    </r>
  </si>
  <si>
    <r>
      <t>Shift + Space</t>
    </r>
    <r>
      <rPr>
        <sz val="11"/>
        <color rgb="FF0000CC"/>
        <rFont val="Aptos Narrow"/>
        <family val="2"/>
        <scheme val="minor"/>
      </rPr>
      <t xml:space="preserve"> → Select entire row</t>
    </r>
  </si>
  <si>
    <r>
      <t>Ctrl + Shift + "+"</t>
    </r>
    <r>
      <rPr>
        <sz val="11"/>
        <color rgb="FF0000CC"/>
        <rFont val="Aptos Narrow"/>
        <family val="2"/>
        <scheme val="minor"/>
      </rPr>
      <t xml:space="preserve"> → Insert row/column</t>
    </r>
  </si>
  <si>
    <r>
      <t>Ctrl + "-"</t>
    </r>
    <r>
      <rPr>
        <sz val="11"/>
        <color rgb="FF0000CC"/>
        <rFont val="Aptos Narrow"/>
        <family val="2"/>
        <scheme val="minor"/>
      </rPr>
      <t xml:space="preserve"> → Delete row/column</t>
    </r>
  </si>
  <si>
    <r>
      <t>Alt + H + O + I</t>
    </r>
    <r>
      <rPr>
        <sz val="11"/>
        <color rgb="FF0000CC"/>
        <rFont val="Aptos Narrow"/>
        <family val="2"/>
        <scheme val="minor"/>
      </rPr>
      <t xml:space="preserve"> → Auto-fit column width</t>
    </r>
  </si>
  <si>
    <r>
      <t>Alt + =</t>
    </r>
    <r>
      <rPr>
        <sz val="11"/>
        <color rgb="FF0000CC"/>
        <rFont val="Aptos Narrow"/>
        <family val="2"/>
        <scheme val="minor"/>
      </rPr>
      <t xml:space="preserve"> → AutoSum</t>
    </r>
  </si>
  <si>
    <r>
      <t>F2</t>
    </r>
    <r>
      <rPr>
        <sz val="11"/>
        <color rgb="FF0000CC"/>
        <rFont val="Aptos Narrow"/>
        <family val="2"/>
        <scheme val="minor"/>
      </rPr>
      <t xml:space="preserve"> → Edit the selected cell</t>
    </r>
  </si>
  <si>
    <r>
      <t>Shift + F3</t>
    </r>
    <r>
      <rPr>
        <sz val="11"/>
        <color rgb="FF0000CC"/>
        <rFont val="Aptos Narrow"/>
        <family val="2"/>
        <scheme val="minor"/>
      </rPr>
      <t xml:space="preserve"> → Open Insert Function</t>
    </r>
  </si>
  <si>
    <r>
      <t>F4</t>
    </r>
    <r>
      <rPr>
        <sz val="11"/>
        <color rgb="FF0000CC"/>
        <rFont val="Aptos Narrow"/>
        <family val="2"/>
        <scheme val="minor"/>
      </rPr>
      <t xml:space="preserve"> → Repeat last action</t>
    </r>
  </si>
  <si>
    <r>
      <t>Alt + Enter</t>
    </r>
    <r>
      <rPr>
        <sz val="11"/>
        <color rgb="FF0000CC"/>
        <rFont val="Aptos Narrow"/>
        <family val="2"/>
        <scheme val="minor"/>
      </rPr>
      <t xml:space="preserve"> → Insert a new line in the same cell</t>
    </r>
  </si>
  <si>
    <r>
      <t>Ctrl + Shift + L</t>
    </r>
    <r>
      <rPr>
        <sz val="11"/>
        <color rgb="FF0000CC"/>
        <rFont val="Aptos Narrow"/>
        <family val="2"/>
        <scheme val="minor"/>
      </rPr>
      <t xml:space="preserve"> → Apply/remove filters</t>
    </r>
  </si>
  <si>
    <t>using formating</t>
  </si>
  <si>
    <t>DATA , Remove duplicate</t>
  </si>
  <si>
    <t>COUNTIF($I$2:I2,I2)</t>
  </si>
  <si>
    <t>Freeze Panes</t>
  </si>
  <si>
    <t>Go to view</t>
  </si>
  <si>
    <t>Copy graph in excel</t>
  </si>
  <si>
    <t>ctr+c</t>
  </si>
  <si>
    <t>go to ppt</t>
  </si>
  <si>
    <t>ctr+alt+v</t>
  </si>
  <si>
    <t>choose paste link</t>
  </si>
  <si>
    <t xml:space="preserve">select </t>
  </si>
  <si>
    <t>Sl. No.</t>
  </si>
  <si>
    <t>Salary</t>
  </si>
  <si>
    <t>Department</t>
  </si>
  <si>
    <t>Ram</t>
  </si>
  <si>
    <t>Shyam</t>
  </si>
  <si>
    <t>Mohan</t>
  </si>
  <si>
    <t>a</t>
  </si>
  <si>
    <t>c</t>
  </si>
  <si>
    <t>b</t>
  </si>
  <si>
    <t>d</t>
  </si>
  <si>
    <t>f</t>
  </si>
  <si>
    <t>g</t>
  </si>
  <si>
    <t>It</t>
  </si>
  <si>
    <t>Finance</t>
  </si>
  <si>
    <t>Hr</t>
  </si>
  <si>
    <t>Purches</t>
  </si>
  <si>
    <t>Amin</t>
  </si>
  <si>
    <t>Opeartion</t>
  </si>
  <si>
    <t>Sales</t>
  </si>
  <si>
    <t>Marketing</t>
  </si>
  <si>
    <t>Sotres</t>
  </si>
  <si>
    <t>Banking</t>
  </si>
  <si>
    <t>sum</t>
  </si>
  <si>
    <t>Avr</t>
  </si>
  <si>
    <t>How to recode marco</t>
  </si>
  <si>
    <t>Go to Developer Tab</t>
  </si>
  <si>
    <t>click on Record Macro</t>
  </si>
  <si>
    <t xml:space="preserve">do the required activity </t>
  </si>
  <si>
    <t>Give name to Macro</t>
  </si>
  <si>
    <t>Stop recording</t>
  </si>
  <si>
    <t>Ctrl+Shift+Arrow Key</t>
  </si>
  <si>
    <t>Go to last cell</t>
  </si>
  <si>
    <t>OR Select the column+Double-click the boundary on the any of the column header</t>
  </si>
  <si>
    <t>sales</t>
  </si>
  <si>
    <t>profit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</si>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</sst>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4"/>
      <color rgb="FF0000CC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CC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0000CC"/>
      <name val="Aptos Narrow"/>
      <family val="2"/>
      <scheme val="minor"/>
    </font>
    <font>
      <b/>
      <sz val="11"/>
      <color rgb="FF0000CC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3.5"/>
      <color rgb="FF0000CC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1" xfId="0" applyBorder="1"/>
    <xf numFmtId="16" fontId="0" fillId="0" borderId="1" xfId="0" applyNumberFormat="1" applyBorder="1"/>
    <xf numFmtId="0" fontId="0" fillId="2" borderId="1" xfId="0" applyFill="1" applyBorder="1"/>
    <xf numFmtId="0" fontId="3" fillId="0" borderId="0" xfId="0" applyFont="1"/>
    <xf numFmtId="16" fontId="3" fillId="0" borderId="0" xfId="0" applyNumberFormat="1" applyFont="1"/>
    <xf numFmtId="0" fontId="0" fillId="0" borderId="1" xfId="0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4" fillId="4" borderId="0" xfId="0" applyFont="1" applyFill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6" fillId="0" borderId="0" xfId="0" applyFont="1"/>
    <xf numFmtId="0" fontId="0" fillId="4" borderId="1" xfId="0" applyFill="1" applyBorder="1"/>
    <xf numFmtId="0" fontId="7" fillId="0" borderId="0" xfId="0" applyFont="1"/>
    <xf numFmtId="0" fontId="7" fillId="0" borderId="0" xfId="0" applyFont="1" applyAlignment="1">
      <alignment vertical="top"/>
    </xf>
    <xf numFmtId="0" fontId="4" fillId="3" borderId="1" xfId="0" applyFont="1" applyFill="1" applyBorder="1" applyAlignment="1">
      <alignment horizontal="center" vertical="top" wrapText="1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1"/>
    <xf numFmtId="14" fontId="0" fillId="0" borderId="0" xfId="0" applyNumberFormat="1"/>
    <xf numFmtId="0" fontId="4" fillId="5" borderId="1" xfId="0" applyFont="1" applyFill="1" applyBorder="1"/>
    <xf numFmtId="0" fontId="5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6" fontId="7" fillId="0" borderId="0" xfId="0" applyNumberFormat="1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8" borderId="0" xfId="0" applyFill="1"/>
    <xf numFmtId="0" fontId="0" fillId="9" borderId="0" xfId="0" applyFill="1"/>
    <xf numFmtId="0" fontId="4" fillId="0" borderId="0" xfId="0" applyFont="1"/>
    <xf numFmtId="9" fontId="0" fillId="0" borderId="0" xfId="0" applyNumberFormat="1"/>
    <xf numFmtId="15" fontId="0" fillId="0" borderId="0" xfId="0" applyNumberFormat="1"/>
    <xf numFmtId="4" fontId="0" fillId="0" borderId="0" xfId="0" applyNumberFormat="1"/>
    <xf numFmtId="0" fontId="10" fillId="0" borderId="0" xfId="0" applyFont="1"/>
    <xf numFmtId="0" fontId="0" fillId="10" borderId="1" xfId="0" applyFill="1" applyBorder="1"/>
    <xf numFmtId="0" fontId="0" fillId="11" borderId="1" xfId="0" applyFill="1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10" Type="http://schemas.openxmlformats.org/officeDocument/2006/relationships/theme" Target="theme/theme1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D-40F7-B8A8-73423BCFBC5A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D-40F7-B8A8-73423BCFBC5A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4D-40F7-B8A8-73423BCFBC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02568576"/>
        <c:axId val="1702569536"/>
      </c:lineChart>
      <c:catAx>
        <c:axId val="170256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69536"/>
        <c:crosses val="autoZero"/>
        <c:auto val="1"/>
        <c:lblAlgn val="ctr"/>
        <c:lblOffset val="100"/>
        <c:noMultiLvlLbl val="0"/>
      </c:catAx>
      <c:valAx>
        <c:axId val="1702569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685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00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1-471C-8DD0-8C1098416AAE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51-471C-8DD0-8C1098416AAE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51-471C-8DD0-8C109841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5016800"/>
        <c:axId val="1955021600"/>
        <c:axId val="0"/>
      </c:bar3DChart>
      <c:catAx>
        <c:axId val="19550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021600"/>
        <c:crosses val="autoZero"/>
        <c:auto val="1"/>
        <c:lblAlgn val="ctr"/>
        <c:lblOffset val="100"/>
        <c:noMultiLvlLbl val="0"/>
      </c:catAx>
      <c:valAx>
        <c:axId val="19550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01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Sales</a:t>
            </a:r>
            <a:r>
              <a:rPr lang="en-US" b="1" baseline="0">
                <a:solidFill>
                  <a:srgbClr val="FF0000"/>
                </a:solidFill>
              </a:rPr>
              <a:t> Report 2025</a:t>
            </a:r>
            <a:endParaRPr lang="en-US" b="1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79730299460598919"/>
          <c:y val="4.1666666666666664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683737367474734"/>
          <c:y val="7.9120370370370369E-2"/>
          <c:w val="0.49845144356955379"/>
          <c:h val="0.87921296296296292"/>
        </c:manualLayout>
      </c:layout>
      <c:doughnutChart>
        <c:varyColors val="1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8-4F3D-B31F-FC4B6998C931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8-4F3D-B31F-FC4B6998C931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8-4F3D-B31F-FC4B6998C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748031496062992E-2"/>
          <c:y val="6.3284120734908147E-2"/>
          <c:w val="0.10891499782999566"/>
          <c:h val="0.88773694954797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accent1">
          <a:alpha val="93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FF0000"/>
                </a:solidFill>
              </a:rPr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E-4549-A252-457AC7A87DBC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E-4549-A252-457AC7A87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492896"/>
        <c:axId val="1702496256"/>
      </c:lineChart>
      <c:lineChart>
        <c:grouping val="stacke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E-4549-A252-457AC7A87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1711200"/>
        <c:axId val="1911707360"/>
      </c:lineChart>
      <c:catAx>
        <c:axId val="170249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496256"/>
        <c:crosses val="autoZero"/>
        <c:auto val="1"/>
        <c:lblAlgn val="ctr"/>
        <c:lblOffset val="100"/>
        <c:noMultiLvlLbl val="0"/>
      </c:catAx>
      <c:valAx>
        <c:axId val="170249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492896"/>
        <c:crosses val="autoZero"/>
        <c:crossBetween val="between"/>
      </c:valAx>
      <c:valAx>
        <c:axId val="1911707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11200"/>
        <c:crosses val="max"/>
        <c:crossBetween val="between"/>
      </c:valAx>
      <c:catAx>
        <c:axId val="191171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11707360"/>
        <c:crosses val="autoZero"/>
        <c:auto val="1"/>
        <c:lblAlgn val="ctr"/>
        <c:lblOffset val="100"/>
        <c:noMultiLvlLbl val="0"/>
      </c:catAx>
      <c:spPr>
        <a:solidFill>
          <a:srgbClr val="FFFF00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92D05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sx="92000" sy="92000" algn="ctr" rotWithShape="0">
                  <a:srgbClr val="00B050">
                    <a:alpha val="94000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66528491243386E-2"/>
          <c:y val="0.17466428010427812"/>
          <c:w val="0.88268972675644763"/>
          <c:h val="0.597902472317565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C-40C0-9C3D-2FCF797EEC4F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C-40C0-9C3D-2FCF797EE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704992"/>
        <c:axId val="294703072"/>
      </c:barChart>
      <c:lineChart>
        <c:grouping val="standar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C-40C0-9C3D-2FCF797EE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888432"/>
        <c:axId val="292890832"/>
      </c:lineChart>
      <c:catAx>
        <c:axId val="2947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703072"/>
        <c:crosses val="autoZero"/>
        <c:auto val="1"/>
        <c:lblAlgn val="ctr"/>
        <c:lblOffset val="100"/>
        <c:noMultiLvlLbl val="0"/>
      </c:catAx>
      <c:valAx>
        <c:axId val="2947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704992"/>
        <c:crosses val="autoZero"/>
        <c:crossBetween val="between"/>
      </c:valAx>
      <c:valAx>
        <c:axId val="29289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888432"/>
        <c:crosses val="max"/>
        <c:crossBetween val="between"/>
      </c:valAx>
      <c:catAx>
        <c:axId val="29288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289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sx="92000" sy="92000" algn="ctr" rotWithShape="0">
                  <a:srgbClr val="00B050">
                    <a:alpha val="94000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accent5">
          <a:lumMod val="60000"/>
          <a:lumOff val="40000"/>
        </a:schemeClr>
      </a:outerShdw>
    </a:effectLst>
  </c:spPr>
  <c:txPr>
    <a:bodyPr/>
    <a:lstStyle/>
    <a:p>
      <a:pPr>
        <a:defRPr>
          <a:effectLst>
            <a:outerShdw blurRad="50800" dist="50800" dir="5400000" sx="92000" sy="92000" algn="ctr" rotWithShape="0">
              <a:srgbClr val="00B050">
                <a:alpha val="94000"/>
              </a:srgb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effectLst>
                <a:outerShdw blurRad="50800" dist="50800" dir="5400000" algn="ctr" rotWithShape="0">
                  <a:srgbClr val="29B95C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D9-4072-BD29-66770E35CE8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D9-4072-BD29-66770E35CE86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D9-4072-BD29-66770E35CE86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DD9-4072-BD29-66770E35CE86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DD9-4072-BD29-66770E35CE86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DD9-4072-BD29-66770E35CE86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DD9-4072-BD29-66770E35CE86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D9-4072-BD29-66770E35CE86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DD9-4072-BD29-66770E35CE86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DD9-4072-BD29-66770E35CE86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DD9-4072-BD29-66770E35CE86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DD9-4072-BD29-66770E35CE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effectLst>
                      <a:outerShdw blurRad="50800" dist="50800" dir="5400000" algn="ctr" rotWithShape="0">
                        <a:srgbClr val="29B95C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barChart>
        <c:barDir val="col"/>
        <c:grouping val="clustered"/>
        <c:varyColors val="0"/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effectLst>
                      <a:outerShdw blurRad="50800" dist="50800" dir="5400000" algn="ctr" rotWithShape="0">
                        <a:srgbClr val="29B95C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941887"/>
        <c:axId val="489933727"/>
      </c:barChart>
      <c:lineChart>
        <c:grouping val="standar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41887"/>
        <c:axId val="489933727"/>
      </c:lineChart>
      <c:catAx>
        <c:axId val="48994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effectLst>
                  <a:outerShdw blurRad="50800" dist="50800" dir="5400000" algn="ctr" rotWithShape="0">
                    <a:srgbClr val="29B95C"/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33727"/>
        <c:crosses val="autoZero"/>
        <c:auto val="1"/>
        <c:lblAlgn val="ctr"/>
        <c:lblOffset val="100"/>
        <c:noMultiLvlLbl val="0"/>
      </c:catAx>
      <c:valAx>
        <c:axId val="4899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effectLst>
                  <a:outerShdw blurRad="50800" dist="50800" dir="5400000" algn="ctr" rotWithShape="0">
                    <a:srgbClr val="29B95C"/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4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effectLst>
                <a:outerShdw blurRad="50800" dist="50800" dir="5400000" algn="ctr" rotWithShape="0">
                  <a:srgbClr val="29B95C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76E3FF">
        <a:alpha val="79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000000"/>
          </a:solidFill>
          <a:effectLst>
            <a:outerShdw blurRad="50800" dist="50800" dir="5400000" algn="ctr" rotWithShape="0">
              <a:srgbClr val="29B95C"/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1-4A8D-8B58-D9853ACD2C08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1-4A8D-8B58-D9853ACD2C08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1-4A8D-8B58-D9853ACD2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532095"/>
        <c:axId val="1518200335"/>
        <c:axId val="0"/>
      </c:bar3DChart>
      <c:catAx>
        <c:axId val="161353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200335"/>
        <c:crosses val="autoZero"/>
        <c:auto val="1"/>
        <c:lblAlgn val="ctr"/>
        <c:lblOffset val="100"/>
        <c:noMultiLvlLbl val="0"/>
      </c:catAx>
      <c:valAx>
        <c:axId val="151820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53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6-448E-B67F-DAA86C40CEC7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6-448E-B67F-DAA86C40CEC7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56-448E-B67F-DAA86C4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888624"/>
        <c:axId val="1700878064"/>
      </c:lineChart>
      <c:catAx>
        <c:axId val="170088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878064"/>
        <c:crosses val="autoZero"/>
        <c:auto val="1"/>
        <c:lblAlgn val="ctr"/>
        <c:lblOffset val="100"/>
        <c:noMultiLvlLbl val="0"/>
      </c:catAx>
      <c:valAx>
        <c:axId val="17008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88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2-4398-B1AD-493E44C36FEB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2-4398-B1AD-493E44C36FEB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C2-4398-B1AD-493E44C36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69818704"/>
        <c:axId val="269811504"/>
      </c:barChart>
      <c:catAx>
        <c:axId val="269818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811504"/>
        <c:crosses val="autoZero"/>
        <c:auto val="1"/>
        <c:lblAlgn val="ctr"/>
        <c:lblOffset val="100"/>
        <c:noMultiLvlLbl val="0"/>
      </c:catAx>
      <c:valAx>
        <c:axId val="26981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81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'Exampel Macro'!$I$2:$I$11</c:f>
              <c:numCache>
                <c:formatCode>General</c:formatCode>
                <c:ptCount val="10"/>
                <c:pt idx="0">
                  <c:v>20000</c:v>
                </c:pt>
                <c:pt idx="1">
                  <c:v>35000</c:v>
                </c:pt>
                <c:pt idx="2">
                  <c:v>50000</c:v>
                </c:pt>
                <c:pt idx="3">
                  <c:v>45000</c:v>
                </c:pt>
                <c:pt idx="4">
                  <c:v>15000</c:v>
                </c:pt>
                <c:pt idx="5">
                  <c:v>35000</c:v>
                </c:pt>
                <c:pt idx="6">
                  <c:v>45000</c:v>
                </c:pt>
                <c:pt idx="7">
                  <c:v>28000</c:v>
                </c:pt>
                <c:pt idx="8">
                  <c:v>30000</c:v>
                </c:pt>
                <c:pt idx="9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D-4F40-8A6D-D1BB065FB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06583408"/>
        <c:axId val="1606577168"/>
        <c:axId val="0"/>
      </c:bar3DChart>
      <c:catAx>
        <c:axId val="160658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577168"/>
        <c:crosses val="autoZero"/>
        <c:auto val="1"/>
        <c:lblAlgn val="ctr"/>
        <c:lblOffset val="100"/>
        <c:noMultiLvlLbl val="0"/>
      </c:catAx>
      <c:valAx>
        <c:axId val="160657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5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Sheet3!$J$1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Sheet3!$I$2:$I$11</c:f>
              <c:strCache>
                <c:ptCount val="10"/>
                <c:pt idx="0">
                  <c:v>Mumbai</c:v>
                </c:pt>
                <c:pt idx="1">
                  <c:v>Delhi</c:v>
                </c:pt>
                <c:pt idx="2">
                  <c:v>Bangalore</c:v>
                </c:pt>
                <c:pt idx="3">
                  <c:v>Kolkata</c:v>
                </c:pt>
                <c:pt idx="4">
                  <c:v>Chennai</c:v>
                </c:pt>
                <c:pt idx="5">
                  <c:v>Hyderabad</c:v>
                </c:pt>
                <c:pt idx="6">
                  <c:v>Pune</c:v>
                </c:pt>
                <c:pt idx="7">
                  <c:v>Jaipur</c:v>
                </c:pt>
                <c:pt idx="8">
                  <c:v>Ahmedabad</c:v>
                </c:pt>
                <c:pt idx="9">
                  <c:v>Chandigarh</c:v>
                </c:pt>
              </c:strCache>
            </c:strRef>
          </c:cat>
          <c:val>
            <c:numRef>
              <c:f>Sheet3!$J$2:$J$11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C-412B-A508-37FE92914D34}"/>
            </c:ext>
          </c:extLst>
        </c:ser>
        <c:ser>
          <c:idx val="1"/>
          <c:order val="1"/>
          <c:tx>
            <c:strRef>
              <c:f>Sheet3!$K$1</c:f>
              <c:strCache>
                <c:ptCount val="1"/>
                <c:pt idx="0">
                  <c:v>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Sheet3!$I$2:$I$11</c:f>
              <c:strCache>
                <c:ptCount val="10"/>
                <c:pt idx="0">
                  <c:v>Mumbai</c:v>
                </c:pt>
                <c:pt idx="1">
                  <c:v>Delhi</c:v>
                </c:pt>
                <c:pt idx="2">
                  <c:v>Bangalore</c:v>
                </c:pt>
                <c:pt idx="3">
                  <c:v>Kolkata</c:v>
                </c:pt>
                <c:pt idx="4">
                  <c:v>Chennai</c:v>
                </c:pt>
                <c:pt idx="5">
                  <c:v>Hyderabad</c:v>
                </c:pt>
                <c:pt idx="6">
                  <c:v>Pune</c:v>
                </c:pt>
                <c:pt idx="7">
                  <c:v>Jaipur</c:v>
                </c:pt>
                <c:pt idx="8">
                  <c:v>Ahmedabad</c:v>
                </c:pt>
                <c:pt idx="9">
                  <c:v>Chandigarh</c:v>
                </c:pt>
              </c:strCache>
            </c:strRef>
          </c:cat>
          <c:val>
            <c:numRef>
              <c:f>Sheet3!$K$2:$K$11</c:f>
              <c:numCache>
                <c:formatCode>General</c:formatCode>
                <c:ptCount val="10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800</c:v>
                </c:pt>
                <c:pt idx="4">
                  <c:v>900</c:v>
                </c:pt>
                <c:pt idx="5">
                  <c:v>1000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C-412B-A508-37FE92914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1</xdr:row>
      <xdr:rowOff>4762</xdr:rowOff>
    </xdr:from>
    <xdr:to>
      <xdr:col>12</xdr:col>
      <xdr:colOff>590550</xdr:colOff>
      <xdr:row>15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C2D39E-F003-7184-71A0-7FACBD91C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1</xdr:row>
      <xdr:rowOff>23812</xdr:rowOff>
    </xdr:from>
    <xdr:to>
      <xdr:col>20</xdr:col>
      <xdr:colOff>542925</xdr:colOff>
      <xdr:row>15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47ECD4-21F1-7E06-532B-5F30EF7A6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18</xdr:row>
      <xdr:rowOff>23812</xdr:rowOff>
    </xdr:from>
    <xdr:to>
      <xdr:col>12</xdr:col>
      <xdr:colOff>581025</xdr:colOff>
      <xdr:row>32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4085D5-E6E0-AD4E-912D-203D3CAD6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285750</xdr:colOff>
      <xdr:row>18</xdr:row>
      <xdr:rowOff>4762</xdr:rowOff>
    </xdr:from>
    <xdr:to>
      <xdr:col>20</xdr:col>
      <xdr:colOff>590550</xdr:colOff>
      <xdr:row>32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51F86E6-ACB6-4146-A85F-ACCD8A99C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20</xdr:row>
      <xdr:rowOff>19049</xdr:rowOff>
    </xdr:from>
    <xdr:to>
      <xdr:col>4</xdr:col>
      <xdr:colOff>552450</xdr:colOff>
      <xdr:row>34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0A5FBB-B2A2-D153-71CE-80ACD26D1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152400</xdr:colOff>
      <xdr:row>33</xdr:row>
      <xdr:rowOff>90487</xdr:rowOff>
    </xdr:from>
    <xdr:to>
      <xdr:col>12</xdr:col>
      <xdr:colOff>457200</xdr:colOff>
      <xdr:row>47</xdr:row>
      <xdr:rowOff>166687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EC42C1-CB41-D93B-D7CA-371AAC9A7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61912</xdr:rowOff>
    </xdr:from>
    <xdr:to>
      <xdr:col>11</xdr:col>
      <xdr:colOff>600075</xdr:colOff>
      <xdr:row>14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AA6370-D929-FB77-464C-F904F333B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123825</xdr:colOff>
      <xdr:row>7</xdr:row>
      <xdr:rowOff>4762</xdr:rowOff>
    </xdr:from>
    <xdr:to>
      <xdr:col>19</xdr:col>
      <xdr:colOff>428625</xdr:colOff>
      <xdr:row>21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1A0C58-6498-0F51-0018-304105A9A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2</xdr:row>
      <xdr:rowOff>14286</xdr:rowOff>
    </xdr:from>
    <xdr:to>
      <xdr:col>13</xdr:col>
      <xdr:colOff>495299</xdr:colOff>
      <xdr:row>20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9A987D-7FE8-63B7-E9BC-7945F044C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</xdr:row>
          <xdr:rowOff>38100</xdr:rowOff>
        </xdr:from>
        <xdr:to>
          <xdr:col>2</xdr:col>
          <xdr:colOff>257175</xdr:colOff>
          <xdr:row>9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494434</xdr:colOff>
          <xdr:row>3</xdr:row>
          <xdr:rowOff>72736</xdr:rowOff>
        </xdr:from>
        <xdr:to>
          <xdr:col>7</xdr:col>
          <xdr:colOff>18184</xdr:colOff>
          <xdr:row>5</xdr:row>
          <xdr:rowOff>129886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452005</xdr:colOff>
          <xdr:row>7</xdr:row>
          <xdr:rowOff>51088</xdr:rowOff>
        </xdr:from>
        <xdr:to>
          <xdr:col>6</xdr:col>
          <xdr:colOff>496167</xdr:colOff>
          <xdr:row>9</xdr:row>
          <xdr:rowOff>108238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1</xdr:row>
      <xdr:rowOff>4762</xdr:rowOff>
    </xdr:from>
    <xdr:to>
      <xdr:col>17</xdr:col>
      <xdr:colOff>428625</xdr:colOff>
      <xdr:row>15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54E5B8-150A-FB4B-91B5-B489C1A5E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0</xdr:row>
      <xdr:rowOff>109537</xdr:rowOff>
    </xdr:from>
    <xdr:to>
      <xdr:col>18</xdr:col>
      <xdr:colOff>400050</xdr:colOff>
      <xdr:row>14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DFED57-1FDA-F579-756B-E435D6AB4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3" Type="http://schemas.openxmlformats.org/officeDocument/2006/relationships/hyperlink" Target="https://encrypted-tbn3.gstatic.com/licensed-image?q=tbn:ANd9GcTC6vBReh7p0IdW5F5rAwRBTmJNcDeJzUR21ZaKE1_1h1memFkYk6o2qG7lGHJArg5GUb0lK63F_opIZiY" TargetMode="External"/><Relationship Id="rId2" Type="http://schemas.openxmlformats.org/officeDocument/2006/relationships/image" Target="../media/image1.jpg"/><Relationship Id="rId1" Type="http://schemas.openxmlformats.org/officeDocument/2006/relationships/hyperlink" Target="https://c.ndtvimg.com/2025-01/3v5kk74o_shubman-gill_625x300_18_January_25.jpg?im=FeatureCrop,algorithm=dnn,width=806,height=605" TargetMode="External"/><Relationship Id="rId4" Type="http://schemas.openxmlformats.org/officeDocument/2006/relationships/image" Target="../media/image2.jpeg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</webImagesSrd>
</file>

<file path=xl/richData/rdrichvalue.xml><?xml version="1.0" encoding="utf-8"?>
<rvData xmlns="http://schemas.microsoft.com/office/spreadsheetml/2017/richdata" count="3">
  <rv s="0">
    <v>0</v>
    <v>5</v>
  </rv>
  <rv s="1">
    <v>0</v>
    <v>1</v>
    <v>0</v>
    <v>0</v>
  </rv>
  <rv s="1">
    <v>1</v>
    <v>1</v>
    <v>0</v>
    <v>0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webimage">
    <k n="WebImageIdentifier" t="i"/>
    <k n="CalcOrigin" t="i"/>
    <k n="ComputedImage" t="b"/>
    <k n="ImageSizing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B38F4-A429-41AD-A4AF-28408B4A4041}">
  <we:reference id="wa200001584" version="3.0.3.6" store="en-US" storeType="OMEX"/>
  <we:alternateReferences>
    <we:reference id="WA200001584" version="3.0.3.6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Advance%20Excel%20class%20sheets-4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71D9-86AA-4603-9C10-89BB49EB86F0}">
  <sheetPr codeName="Sheet2">
    <tabColor theme="5"/>
  </sheetPr>
  <dimension ref="A1:W42"/>
  <sheetViews>
    <sheetView workbookViewId="0">
      <selection activeCell="A2" sqref="A2:D14"/>
    </sheetView>
  </sheetViews>
  <sheetFormatPr defaultRowHeight="15" x14ac:dyDescent="0.25"/>
  <cols>
    <col min="2" max="2" width="9.5703125" bestFit="1" customWidth="1"/>
    <col min="3" max="3" width="15.140625" bestFit="1" customWidth="1"/>
    <col min="4" max="4" width="16.85546875" bestFit="1" customWidth="1"/>
  </cols>
  <sheetData>
    <row r="1" spans="1:23" ht="18.75" x14ac:dyDescent="0.3">
      <c r="A1" s="1" t="s">
        <v>0</v>
      </c>
      <c r="G1" s="5" t="s">
        <v>17</v>
      </c>
      <c r="O1" s="5" t="s">
        <v>19</v>
      </c>
      <c r="W1" s="5" t="s">
        <v>38</v>
      </c>
    </row>
    <row r="2" spans="1:23" x14ac:dyDescent="0.25">
      <c r="A2" s="4" t="s">
        <v>1</v>
      </c>
      <c r="B2" s="4" t="s">
        <v>2</v>
      </c>
      <c r="C2" s="4" t="s">
        <v>4</v>
      </c>
      <c r="D2" s="4" t="s">
        <v>3</v>
      </c>
      <c r="W2" s="5" t="s">
        <v>39</v>
      </c>
    </row>
    <row r="3" spans="1:23" x14ac:dyDescent="0.25">
      <c r="A3" s="3" t="s">
        <v>5</v>
      </c>
      <c r="B3" s="2">
        <v>50</v>
      </c>
      <c r="C3" s="2">
        <v>30</v>
      </c>
      <c r="D3" s="2">
        <v>20</v>
      </c>
    </row>
    <row r="4" spans="1:23" x14ac:dyDescent="0.25">
      <c r="A4" s="2" t="s">
        <v>6</v>
      </c>
      <c r="B4" s="2">
        <v>20</v>
      </c>
      <c r="C4" s="2">
        <v>15</v>
      </c>
      <c r="D4" s="2">
        <v>25</v>
      </c>
    </row>
    <row r="5" spans="1:23" x14ac:dyDescent="0.25">
      <c r="A5" s="3" t="s">
        <v>7</v>
      </c>
      <c r="B5" s="2">
        <v>10</v>
      </c>
      <c r="C5" s="2">
        <v>9</v>
      </c>
      <c r="D5" s="2">
        <v>35</v>
      </c>
      <c r="W5" s="5" t="s">
        <v>46</v>
      </c>
    </row>
    <row r="6" spans="1:23" x14ac:dyDescent="0.25">
      <c r="A6" s="2" t="s">
        <v>8</v>
      </c>
      <c r="B6" s="2">
        <v>30</v>
      </c>
      <c r="C6" s="2">
        <v>15</v>
      </c>
      <c r="D6" s="2">
        <v>28</v>
      </c>
      <c r="W6" s="5" t="s">
        <v>47</v>
      </c>
    </row>
    <row r="7" spans="1:23" x14ac:dyDescent="0.25">
      <c r="A7" s="3" t="s">
        <v>9</v>
      </c>
      <c r="B7" s="2">
        <v>70</v>
      </c>
      <c r="C7" s="2">
        <v>20</v>
      </c>
      <c r="D7" s="2">
        <v>29</v>
      </c>
      <c r="W7" s="5" t="s">
        <v>48</v>
      </c>
    </row>
    <row r="8" spans="1:23" x14ac:dyDescent="0.25">
      <c r="A8" s="2" t="s">
        <v>10</v>
      </c>
      <c r="B8" s="2">
        <v>25</v>
      </c>
      <c r="C8" s="2">
        <v>25</v>
      </c>
      <c r="D8" s="2">
        <v>40</v>
      </c>
      <c r="W8" s="5" t="s">
        <v>49</v>
      </c>
    </row>
    <row r="9" spans="1:23" x14ac:dyDescent="0.25">
      <c r="A9" s="3" t="s">
        <v>11</v>
      </c>
      <c r="B9" s="2">
        <v>35</v>
      </c>
      <c r="C9" s="2">
        <v>30</v>
      </c>
      <c r="D9" s="2">
        <v>15</v>
      </c>
    </row>
    <row r="10" spans="1:23" x14ac:dyDescent="0.25">
      <c r="A10" s="2" t="s">
        <v>12</v>
      </c>
      <c r="B10" s="2">
        <v>50</v>
      </c>
      <c r="C10" s="2">
        <v>25</v>
      </c>
      <c r="D10" s="2">
        <v>12</v>
      </c>
    </row>
    <row r="11" spans="1:23" x14ac:dyDescent="0.25">
      <c r="A11" s="3" t="s">
        <v>13</v>
      </c>
      <c r="B11" s="2">
        <v>31</v>
      </c>
      <c r="C11" s="2">
        <v>20</v>
      </c>
      <c r="D11" s="2">
        <v>13</v>
      </c>
    </row>
    <row r="12" spans="1:23" x14ac:dyDescent="0.25">
      <c r="A12" s="3" t="s">
        <v>14</v>
      </c>
      <c r="B12" s="2">
        <v>15</v>
      </c>
      <c r="C12" s="2">
        <v>15</v>
      </c>
      <c r="D12" s="2">
        <v>20</v>
      </c>
    </row>
    <row r="13" spans="1:23" x14ac:dyDescent="0.25">
      <c r="A13" s="2" t="s">
        <v>15</v>
      </c>
      <c r="B13" s="2">
        <v>10</v>
      </c>
      <c r="C13" s="2">
        <v>14</v>
      </c>
      <c r="D13" s="2">
        <v>30</v>
      </c>
    </row>
    <row r="14" spans="1:23" x14ac:dyDescent="0.25">
      <c r="A14" s="3" t="s">
        <v>16</v>
      </c>
      <c r="B14" s="2">
        <v>25</v>
      </c>
      <c r="C14" s="2">
        <v>12</v>
      </c>
      <c r="D14" s="2">
        <v>15</v>
      </c>
    </row>
    <row r="15" spans="1:23" x14ac:dyDescent="0.25">
      <c r="A15" s="5" t="s">
        <v>80</v>
      </c>
    </row>
    <row r="16" spans="1:23" x14ac:dyDescent="0.25">
      <c r="A16" s="5" t="s">
        <v>50</v>
      </c>
    </row>
    <row r="17" spans="1:22" x14ac:dyDescent="0.25">
      <c r="A17" s="5" t="s">
        <v>81</v>
      </c>
    </row>
    <row r="18" spans="1:22" x14ac:dyDescent="0.25">
      <c r="F18" s="5" t="s">
        <v>18</v>
      </c>
      <c r="O18" s="5" t="s">
        <v>20</v>
      </c>
    </row>
    <row r="19" spans="1:22" x14ac:dyDescent="0.25">
      <c r="A19" s="5" t="s">
        <v>24</v>
      </c>
    </row>
    <row r="26" spans="1:22" x14ac:dyDescent="0.25">
      <c r="V26" s="5" t="s">
        <v>21</v>
      </c>
    </row>
    <row r="27" spans="1:22" x14ac:dyDescent="0.25">
      <c r="V27" s="5" t="s">
        <v>22</v>
      </c>
    </row>
    <row r="28" spans="1:22" x14ac:dyDescent="0.25">
      <c r="V28" s="5" t="s">
        <v>45</v>
      </c>
    </row>
    <row r="29" spans="1:22" x14ac:dyDescent="0.25">
      <c r="V29" s="5" t="s">
        <v>23</v>
      </c>
    </row>
    <row r="36" spans="1:1" x14ac:dyDescent="0.25">
      <c r="A36" s="5" t="s">
        <v>25</v>
      </c>
    </row>
    <row r="37" spans="1:1" x14ac:dyDescent="0.25">
      <c r="A37" s="5" t="s">
        <v>26</v>
      </c>
    </row>
    <row r="38" spans="1:1" x14ac:dyDescent="0.25">
      <c r="A38" s="5" t="s">
        <v>27</v>
      </c>
    </row>
    <row r="39" spans="1:1" x14ac:dyDescent="0.25">
      <c r="A39" s="5" t="s">
        <v>28</v>
      </c>
    </row>
    <row r="40" spans="1:1" x14ac:dyDescent="0.25">
      <c r="A40" s="5" t="s">
        <v>29</v>
      </c>
    </row>
    <row r="41" spans="1:1" x14ac:dyDescent="0.25">
      <c r="A41" s="5" t="s">
        <v>30</v>
      </c>
    </row>
    <row r="42" spans="1:1" x14ac:dyDescent="0.25">
      <c r="A42" s="5" t="s">
        <v>31</v>
      </c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03B82-8ECD-45DD-9D4B-9C8D2C5C3E3F}">
  <sheetPr codeName="Sheet3">
    <tabColor rgb="FF00B050"/>
  </sheetPr>
  <dimension ref="A1:O20"/>
  <sheetViews>
    <sheetView topLeftCell="B1" zoomScaleNormal="100" workbookViewId="0">
      <selection activeCell="E16" sqref="E16"/>
    </sheetView>
  </sheetViews>
  <sheetFormatPr defaultRowHeight="15" x14ac:dyDescent="0.25"/>
  <cols>
    <col min="4" max="4" width="16.85546875" bestFit="1" customWidth="1"/>
  </cols>
  <sheetData>
    <row r="1" spans="1:15" x14ac:dyDescent="0.25">
      <c r="A1" s="4" t="s">
        <v>1</v>
      </c>
      <c r="B1" s="4" t="s">
        <v>2</v>
      </c>
      <c r="C1" s="4" t="s">
        <v>4</v>
      </c>
      <c r="D1" s="4" t="s">
        <v>3</v>
      </c>
    </row>
    <row r="2" spans="1:15" x14ac:dyDescent="0.25">
      <c r="A2" s="3" t="s">
        <v>5</v>
      </c>
      <c r="B2" s="2">
        <v>60</v>
      </c>
      <c r="C2" s="2">
        <v>40</v>
      </c>
      <c r="D2" s="2">
        <v>50</v>
      </c>
      <c r="O2" s="28" t="s">
        <v>191</v>
      </c>
    </row>
    <row r="3" spans="1:15" x14ac:dyDescent="0.25">
      <c r="A3" s="2" t="s">
        <v>6</v>
      </c>
      <c r="B3" s="2">
        <v>20</v>
      </c>
      <c r="C3" s="2">
        <v>20</v>
      </c>
      <c r="D3" s="2">
        <v>25</v>
      </c>
      <c r="O3" s="6"/>
    </row>
    <row r="4" spans="1:15" x14ac:dyDescent="0.25">
      <c r="A4" s="3" t="s">
        <v>7</v>
      </c>
      <c r="B4" s="2">
        <v>20</v>
      </c>
      <c r="C4" s="2">
        <v>50</v>
      </c>
      <c r="D4" s="2">
        <v>35</v>
      </c>
      <c r="O4" s="6" t="s">
        <v>192</v>
      </c>
    </row>
    <row r="5" spans="1:15" x14ac:dyDescent="0.25">
      <c r="A5" s="2" t="s">
        <v>8</v>
      </c>
      <c r="B5" s="2">
        <v>20</v>
      </c>
      <c r="C5" s="2">
        <v>15</v>
      </c>
      <c r="D5" s="2">
        <v>28</v>
      </c>
      <c r="O5" s="6" t="s">
        <v>193</v>
      </c>
    </row>
    <row r="6" spans="1:15" x14ac:dyDescent="0.25">
      <c r="A6" s="3" t="s">
        <v>9</v>
      </c>
      <c r="B6" s="2">
        <v>50</v>
      </c>
      <c r="C6" s="2">
        <v>20</v>
      </c>
      <c r="D6" s="2">
        <v>29</v>
      </c>
      <c r="O6" s="6" t="s">
        <v>194</v>
      </c>
    </row>
    <row r="7" spans="1:15" x14ac:dyDescent="0.25">
      <c r="A7" s="2" t="s">
        <v>10</v>
      </c>
      <c r="B7" s="2">
        <v>25</v>
      </c>
      <c r="C7" s="2">
        <v>25</v>
      </c>
      <c r="D7" s="2">
        <v>40</v>
      </c>
      <c r="O7" s="6" t="s">
        <v>195</v>
      </c>
    </row>
    <row r="8" spans="1:15" x14ac:dyDescent="0.25">
      <c r="A8" s="3" t="s">
        <v>11</v>
      </c>
      <c r="B8" s="2">
        <v>35</v>
      </c>
      <c r="C8" s="2">
        <v>30</v>
      </c>
      <c r="D8" s="2">
        <v>15</v>
      </c>
    </row>
    <row r="9" spans="1:15" x14ac:dyDescent="0.25">
      <c r="A9" s="2" t="s">
        <v>12</v>
      </c>
      <c r="B9" s="2">
        <v>50</v>
      </c>
      <c r="C9" s="2">
        <v>25</v>
      </c>
      <c r="D9" s="2">
        <v>12</v>
      </c>
    </row>
    <row r="10" spans="1:15" x14ac:dyDescent="0.25">
      <c r="A10" s="3" t="s">
        <v>13</v>
      </c>
      <c r="B10" s="2">
        <v>31</v>
      </c>
      <c r="C10" s="2">
        <v>20</v>
      </c>
      <c r="D10" s="2">
        <v>13</v>
      </c>
    </row>
    <row r="11" spans="1:15" x14ac:dyDescent="0.25">
      <c r="A11" s="3" t="s">
        <v>14</v>
      </c>
      <c r="B11" s="2">
        <v>15</v>
      </c>
      <c r="C11" s="2">
        <v>15</v>
      </c>
      <c r="D11" s="2">
        <v>20</v>
      </c>
    </row>
    <row r="12" spans="1:15" x14ac:dyDescent="0.25">
      <c r="A12" s="2" t="s">
        <v>15</v>
      </c>
      <c r="B12" s="2">
        <v>10</v>
      </c>
      <c r="C12" s="2">
        <v>14</v>
      </c>
      <c r="D12" s="2">
        <v>30</v>
      </c>
    </row>
    <row r="13" spans="1:15" x14ac:dyDescent="0.25">
      <c r="A13" s="3" t="s">
        <v>16</v>
      </c>
      <c r="B13" s="2">
        <v>25</v>
      </c>
      <c r="C13" s="2">
        <v>12</v>
      </c>
      <c r="D13" s="2">
        <v>15</v>
      </c>
    </row>
    <row r="15" spans="1:15" x14ac:dyDescent="0.25">
      <c r="A15" s="6" t="s">
        <v>32</v>
      </c>
      <c r="D15" s="5" t="s">
        <v>242</v>
      </c>
    </row>
    <row r="16" spans="1:15" x14ac:dyDescent="0.25">
      <c r="A16" s="5" t="s">
        <v>33</v>
      </c>
      <c r="D16" s="5" t="s">
        <v>243</v>
      </c>
    </row>
    <row r="17" spans="1:4" x14ac:dyDescent="0.25">
      <c r="A17" s="6" t="s">
        <v>34</v>
      </c>
      <c r="D17" s="5" t="s">
        <v>244</v>
      </c>
    </row>
    <row r="18" spans="1:4" x14ac:dyDescent="0.25">
      <c r="A18" s="5" t="s">
        <v>35</v>
      </c>
      <c r="D18" s="5" t="s">
        <v>245</v>
      </c>
    </row>
    <row r="19" spans="1:4" x14ac:dyDescent="0.25">
      <c r="A19" s="6" t="s">
        <v>36</v>
      </c>
      <c r="D19" s="5" t="s">
        <v>246</v>
      </c>
    </row>
    <row r="20" spans="1:4" x14ac:dyDescent="0.25">
      <c r="A20" s="5" t="s">
        <v>37</v>
      </c>
      <c r="D20" s="5" t="s">
        <v>247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7EBD3-521D-41A7-88A5-6F5848840776}">
  <sheetPr codeName="Sheet4">
    <tabColor rgb="FFFFFF00"/>
  </sheetPr>
  <dimension ref="A2:Q14"/>
  <sheetViews>
    <sheetView workbookViewId="0">
      <selection activeCell="Q2" sqref="Q2"/>
    </sheetView>
  </sheetViews>
  <sheetFormatPr defaultRowHeight="15" x14ac:dyDescent="0.25"/>
  <cols>
    <col min="2" max="2" width="16.5703125" customWidth="1"/>
    <col min="3" max="3" width="19" customWidth="1"/>
    <col min="4" max="4" width="16.5703125" customWidth="1"/>
    <col min="5" max="5" width="18" customWidth="1"/>
    <col min="6" max="6" width="16.5703125" customWidth="1"/>
    <col min="7" max="7" width="30.85546875" customWidth="1"/>
    <col min="12" max="12" width="16.42578125" bestFit="1" customWidth="1"/>
    <col min="13" max="13" width="25.5703125" customWidth="1"/>
    <col min="15" max="15" width="26.28515625" customWidth="1"/>
  </cols>
  <sheetData>
    <row r="2" spans="1:17" ht="18" customHeight="1" thickBot="1" x14ac:dyDescent="0.3">
      <c r="A2" s="8" t="s">
        <v>1</v>
      </c>
      <c r="B2" s="8" t="s">
        <v>40</v>
      </c>
      <c r="C2" s="8" t="s">
        <v>44</v>
      </c>
      <c r="D2" s="8" t="s">
        <v>41</v>
      </c>
      <c r="E2" s="8" t="s">
        <v>54</v>
      </c>
      <c r="F2" s="8" t="s">
        <v>42</v>
      </c>
      <c r="G2" s="10" t="s">
        <v>43</v>
      </c>
      <c r="I2" s="5" t="s">
        <v>50</v>
      </c>
      <c r="L2" s="8" t="s">
        <v>40</v>
      </c>
      <c r="N2" s="7">
        <v>700</v>
      </c>
      <c r="P2" s="2">
        <v>100</v>
      </c>
      <c r="Q2" s="2"/>
    </row>
    <row r="3" spans="1:17" ht="27.75" customHeight="1" thickBot="1" x14ac:dyDescent="0.3">
      <c r="A3" s="7" t="s">
        <v>5</v>
      </c>
      <c r="B3" s="7">
        <v>500</v>
      </c>
      <c r="C3" s="7"/>
      <c r="D3" s="7">
        <v>700</v>
      </c>
      <c r="E3" s="9"/>
      <c r="F3" s="9">
        <v>300</v>
      </c>
      <c r="G3" s="11"/>
      <c r="I3" s="5" t="s">
        <v>51</v>
      </c>
      <c r="L3" s="7">
        <v>500</v>
      </c>
      <c r="N3" s="7">
        <v>-720</v>
      </c>
      <c r="P3" s="2">
        <v>120</v>
      </c>
      <c r="Q3" s="2"/>
    </row>
    <row r="4" spans="1:17" ht="27.75" customHeight="1" thickBot="1" x14ac:dyDescent="0.3">
      <c r="A4" s="7" t="s">
        <v>6</v>
      </c>
      <c r="B4" s="7">
        <v>550</v>
      </c>
      <c r="C4" s="7"/>
      <c r="D4" s="7">
        <v>-720</v>
      </c>
      <c r="E4" s="9"/>
      <c r="F4" s="9">
        <v>310</v>
      </c>
      <c r="G4" s="11"/>
      <c r="I4" s="5" t="s">
        <v>52</v>
      </c>
      <c r="L4" s="7">
        <v>700</v>
      </c>
      <c r="N4" s="7">
        <v>680</v>
      </c>
      <c r="P4" s="2">
        <v>90</v>
      </c>
      <c r="Q4" s="2"/>
    </row>
    <row r="5" spans="1:17" ht="27.75" customHeight="1" thickBot="1" x14ac:dyDescent="0.3">
      <c r="A5" s="7" t="s">
        <v>7</v>
      </c>
      <c r="B5" s="7">
        <v>600</v>
      </c>
      <c r="C5" s="7"/>
      <c r="D5" s="7">
        <v>680</v>
      </c>
      <c r="E5" s="9"/>
      <c r="F5" s="9">
        <v>800</v>
      </c>
      <c r="G5" s="11"/>
      <c r="I5" s="5" t="s">
        <v>53</v>
      </c>
      <c r="L5" s="7">
        <v>600</v>
      </c>
      <c r="N5" s="7">
        <v>730</v>
      </c>
      <c r="P5" s="2">
        <v>80</v>
      </c>
      <c r="Q5" s="2"/>
    </row>
    <row r="6" spans="1:17" ht="27.75" customHeight="1" thickBot="1" x14ac:dyDescent="0.3">
      <c r="A6" s="7" t="s">
        <v>8</v>
      </c>
      <c r="B6" s="7">
        <v>580</v>
      </c>
      <c r="C6" s="7"/>
      <c r="D6" s="7">
        <v>730</v>
      </c>
      <c r="E6" s="9"/>
      <c r="F6" s="9">
        <v>320</v>
      </c>
      <c r="G6" s="11"/>
      <c r="L6" s="7">
        <v>100</v>
      </c>
      <c r="N6" s="7">
        <v>-710</v>
      </c>
      <c r="P6" s="2">
        <v>130</v>
      </c>
      <c r="Q6" s="2"/>
    </row>
    <row r="7" spans="1:17" ht="27.75" customHeight="1" thickBot="1" x14ac:dyDescent="0.3">
      <c r="A7" s="7" t="s">
        <v>9</v>
      </c>
      <c r="B7" s="7">
        <v>620</v>
      </c>
      <c r="C7" s="7"/>
      <c r="D7" s="7">
        <v>-710</v>
      </c>
      <c r="E7" s="9"/>
      <c r="F7" s="9">
        <v>10</v>
      </c>
      <c r="G7" s="11"/>
      <c r="L7" s="7">
        <v>620</v>
      </c>
      <c r="N7" s="7">
        <v>750</v>
      </c>
      <c r="P7" s="2">
        <v>15</v>
      </c>
      <c r="Q7" s="2"/>
    </row>
    <row r="8" spans="1:17" ht="27.75" customHeight="1" thickBot="1" x14ac:dyDescent="0.3">
      <c r="A8" s="7" t="s">
        <v>10</v>
      </c>
      <c r="B8" s="7">
        <v>650</v>
      </c>
      <c r="C8" s="7"/>
      <c r="D8" s="7">
        <v>750</v>
      </c>
      <c r="E8" s="9"/>
      <c r="F8" s="9">
        <v>350</v>
      </c>
      <c r="G8" s="11"/>
      <c r="L8" s="7">
        <v>650</v>
      </c>
      <c r="N8" s="7">
        <v>780</v>
      </c>
      <c r="P8" s="2">
        <v>70</v>
      </c>
      <c r="Q8" s="2"/>
    </row>
    <row r="9" spans="1:17" ht="27.75" customHeight="1" thickBot="1" x14ac:dyDescent="0.3">
      <c r="A9" s="7" t="s">
        <v>11</v>
      </c>
      <c r="B9" s="7">
        <v>700</v>
      </c>
      <c r="C9" s="7"/>
      <c r="D9" s="7">
        <v>780</v>
      </c>
      <c r="E9" s="9"/>
      <c r="F9" s="9">
        <v>370</v>
      </c>
      <c r="G9" s="11"/>
      <c r="L9" s="7">
        <v>700</v>
      </c>
      <c r="N9" s="7">
        <v>-770</v>
      </c>
      <c r="P9" s="2">
        <v>85</v>
      </c>
      <c r="Q9" s="2"/>
    </row>
    <row r="10" spans="1:17" ht="27.75" customHeight="1" thickBot="1" x14ac:dyDescent="0.3">
      <c r="A10" s="7" t="s">
        <v>12</v>
      </c>
      <c r="B10" s="7">
        <v>680</v>
      </c>
      <c r="C10" s="7"/>
      <c r="D10" s="7">
        <v>-770</v>
      </c>
      <c r="E10" s="9"/>
      <c r="F10" s="9">
        <v>50</v>
      </c>
      <c r="G10" s="11"/>
      <c r="L10" s="7">
        <v>680</v>
      </c>
      <c r="N10" s="7">
        <v>800</v>
      </c>
    </row>
    <row r="11" spans="1:17" ht="27.75" customHeight="1" thickBot="1" x14ac:dyDescent="0.3">
      <c r="A11" s="7" t="s">
        <v>13</v>
      </c>
      <c r="B11" s="7">
        <v>720</v>
      </c>
      <c r="C11" s="7"/>
      <c r="D11" s="7">
        <v>800</v>
      </c>
      <c r="E11" s="9"/>
      <c r="F11" s="9">
        <v>390</v>
      </c>
      <c r="G11" s="11"/>
      <c r="L11" s="7">
        <v>720</v>
      </c>
      <c r="N11" s="7">
        <v>820</v>
      </c>
    </row>
    <row r="12" spans="1:17" ht="27.75" customHeight="1" thickBot="1" x14ac:dyDescent="0.3">
      <c r="A12" s="7" t="s">
        <v>14</v>
      </c>
      <c r="B12" s="7">
        <v>740</v>
      </c>
      <c r="C12" s="7"/>
      <c r="D12" s="7">
        <v>820</v>
      </c>
      <c r="E12" s="9"/>
      <c r="F12" s="9">
        <v>400</v>
      </c>
      <c r="G12" s="11"/>
      <c r="L12" s="7">
        <v>740</v>
      </c>
      <c r="N12" s="7">
        <v>1000</v>
      </c>
    </row>
    <row r="13" spans="1:17" ht="27.75" customHeight="1" thickBot="1" x14ac:dyDescent="0.3">
      <c r="A13" s="7" t="s">
        <v>15</v>
      </c>
      <c r="B13" s="7">
        <v>760</v>
      </c>
      <c r="C13" s="7"/>
      <c r="D13" s="7">
        <v>830</v>
      </c>
      <c r="E13" s="9"/>
      <c r="F13" s="9">
        <v>420</v>
      </c>
      <c r="G13" s="11"/>
      <c r="L13" s="7">
        <v>760</v>
      </c>
      <c r="N13" s="7">
        <v>-300</v>
      </c>
    </row>
    <row r="14" spans="1:17" ht="27.75" customHeight="1" thickBot="1" x14ac:dyDescent="0.3">
      <c r="A14" s="7" t="s">
        <v>16</v>
      </c>
      <c r="B14" s="7">
        <v>800</v>
      </c>
      <c r="C14" s="7"/>
      <c r="D14" s="7">
        <v>-850</v>
      </c>
      <c r="E14" s="9"/>
      <c r="F14" s="9">
        <v>800</v>
      </c>
      <c r="G14" s="12"/>
      <c r="L14" s="7">
        <v>100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 xr2:uid="{6032C3EA-BDAE-492F-9AF6-8CBFE59E9AF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Sparklines!D3:D14</xm:f>
              <xm:sqref>E3</xm:sqref>
            </x14:sparkline>
            <x14:sparkline>
              <xm:f>Sparklines!D4:D15</xm:f>
              <xm:sqref>E4</xm:sqref>
            </x14:sparkline>
            <x14:sparkline>
              <xm:f>Sparklines!D5:D16</xm:f>
              <xm:sqref>E5</xm:sqref>
            </x14:sparkline>
            <x14:sparkline>
              <xm:f>Sparklines!D6:D17</xm:f>
              <xm:sqref>E6</xm:sqref>
            </x14:sparkline>
            <x14:sparkline>
              <xm:f>Sparklines!D7:D18</xm:f>
              <xm:sqref>E7</xm:sqref>
            </x14:sparkline>
            <x14:sparkline>
              <xm:f>Sparklines!D8:D19</xm:f>
              <xm:sqref>E8</xm:sqref>
            </x14:sparkline>
            <x14:sparkline>
              <xm:f>Sparklines!D9:D20</xm:f>
              <xm:sqref>E9</xm:sqref>
            </x14:sparkline>
            <x14:sparkline>
              <xm:f>Sparklines!D10:D21</xm:f>
              <xm:sqref>E10</xm:sqref>
            </x14:sparkline>
            <x14:sparkline>
              <xm:f>Sparklines!D11:D22</xm:f>
              <xm:sqref>E11</xm:sqref>
            </x14:sparkline>
            <x14:sparkline>
              <xm:f>Sparklines!D12:D23</xm:f>
              <xm:sqref>E12</xm:sqref>
            </x14:sparkline>
            <x14:sparkline>
              <xm:f>Sparklines!D13:D24</xm:f>
              <xm:sqref>E13</xm:sqref>
            </x14:sparkline>
            <x14:sparkline>
              <xm:f>Sparklines!D14:D25</xm:f>
              <xm:sqref>E14</xm:sqref>
            </x14:sparkline>
            <x14:sparkline>
              <xm:f>Sparklines!D15:D26</xm:f>
              <xm:sqref>E15</xm:sqref>
            </x14:sparkline>
          </x14:sparklines>
        </x14:sparklineGroup>
        <x14:sparklineGroup displayEmptyCellsAs="gap" xr2:uid="{8947238B-A9AD-492A-A34F-B621B36274C9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Sparklines!F14:F14</xm:f>
              <xm:sqref>G14</xm:sqref>
            </x14:sparkline>
          </x14:sparklines>
        </x14:sparklineGroup>
        <x14:sparklineGroup displayEmptyCellsAs="gap" xr2:uid="{D5729F9B-C074-430B-AAF0-36A391565A80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Sparklines!F3:F14</xm:f>
              <xm:sqref>G3</xm:sqref>
            </x14:sparkline>
            <x14:sparkline>
              <xm:f>Sparklines!F4:F15</xm:f>
              <xm:sqref>G4</xm:sqref>
            </x14:sparkline>
            <x14:sparkline>
              <xm:f>Sparklines!F5:F16</xm:f>
              <xm:sqref>G5</xm:sqref>
            </x14:sparkline>
            <x14:sparkline>
              <xm:f>Sparklines!F6:F17</xm:f>
              <xm:sqref>G6</xm:sqref>
            </x14:sparkline>
            <x14:sparkline>
              <xm:f>Sparklines!F7:F18</xm:f>
              <xm:sqref>G7</xm:sqref>
            </x14:sparkline>
            <x14:sparkline>
              <xm:f>Sparklines!F8:F19</xm:f>
              <xm:sqref>G8</xm:sqref>
            </x14:sparkline>
            <x14:sparkline>
              <xm:f>Sparklines!F9:F20</xm:f>
              <xm:sqref>G9</xm:sqref>
            </x14:sparkline>
            <x14:sparkline>
              <xm:f>Sparklines!F10:F21</xm:f>
              <xm:sqref>G10</xm:sqref>
            </x14:sparkline>
            <x14:sparkline>
              <xm:f>Sparklines!F11:F22</xm:f>
              <xm:sqref>G11</xm:sqref>
            </x14:sparkline>
            <x14:sparkline>
              <xm:f>Sparklines!F12:F23</xm:f>
              <xm:sqref>G12</xm:sqref>
            </x14:sparkline>
            <x14:sparkline>
              <xm:f>Sparklines!F13:F24</xm:f>
              <xm:sqref>G13</xm:sqref>
            </x14:sparkline>
          </x14:sparklines>
        </x14:sparklineGroup>
        <x14:sparklineGroup type="column" displayEmptyCellsAs="gap" xr2:uid="{6AE2185B-46D4-4BC4-B453-64488B83AC21}">
          <x14:colorSeries theme="3" tint="0.34998626667073579"/>
          <x14:colorNegative theme="0" tint="-0.249977111117893"/>
          <x14:colorAxis rgb="FF000000"/>
          <x14:colorMarkers theme="0" tint="-0.249977111117893"/>
          <x14:colorFirst theme="0" tint="-0.249977111117893"/>
          <x14:colorLast theme="0" tint="-0.249977111117893"/>
          <x14:colorHigh theme="0" tint="-0.249977111117893"/>
          <x14:colorLow theme="0" tint="-0.249977111117893"/>
          <x14:sparklines>
            <x14:sparkline>
              <xm:f>Sparklines!B3:B14</xm:f>
              <xm:sqref>C3</xm:sqref>
            </x14:sparkline>
            <x14:sparkline>
              <xm:f>Sparklines!B4:B15</xm:f>
              <xm:sqref>C4</xm:sqref>
            </x14:sparkline>
            <x14:sparkline>
              <xm:f>Sparklines!B5:B16</xm:f>
              <xm:sqref>C5</xm:sqref>
            </x14:sparkline>
            <x14:sparkline>
              <xm:f>Sparklines!B6:B17</xm:f>
              <xm:sqref>C6</xm:sqref>
            </x14:sparkline>
            <x14:sparkline>
              <xm:f>Sparklines!B7:B18</xm:f>
              <xm:sqref>C7</xm:sqref>
            </x14:sparkline>
            <x14:sparkline>
              <xm:f>Sparklines!B8:B19</xm:f>
              <xm:sqref>C8</xm:sqref>
            </x14:sparkline>
            <x14:sparkline>
              <xm:f>Sparklines!B9:B20</xm:f>
              <xm:sqref>C9</xm:sqref>
            </x14:sparkline>
            <x14:sparkline>
              <xm:f>Sparklines!B10:B21</xm:f>
              <xm:sqref>C10</xm:sqref>
            </x14:sparkline>
            <x14:sparkline>
              <xm:f>Sparklines!B11:B22</xm:f>
              <xm:sqref>C11</xm:sqref>
            </x14:sparkline>
            <x14:sparkline>
              <xm:f>Sparklines!B12:B23</xm:f>
              <xm:sqref>C12</xm:sqref>
            </x14:sparkline>
            <x14:sparkline>
              <xm:f>Sparklines!B13:B24</xm:f>
              <xm:sqref>C13</xm:sqref>
            </x14:sparkline>
            <x14:sparkline>
              <xm:f>Sparklines!B14:B25</xm:f>
              <xm:sqref>C14</xm:sqref>
            </x14:sparkline>
          </x14:sparklines>
        </x14:sparklineGroup>
        <x14:sparklineGroup type="column" displayEmptyCellsAs="gap" xr2:uid="{85D3044F-69E2-4F1A-939D-E1B131D07A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Sparklines!L2:L14</xm:f>
              <xm:sqref>M3</xm:sqref>
            </x14:sparkline>
            <x14:sparkline>
              <xm:f>Sparklines!L3:L15</xm:f>
              <xm:sqref>M4</xm:sqref>
            </x14:sparkline>
            <x14:sparkline>
              <xm:f>Sparklines!L4:L16</xm:f>
              <xm:sqref>M5</xm:sqref>
            </x14:sparkline>
            <x14:sparkline>
              <xm:f>Sparklines!L5:L17</xm:f>
              <xm:sqref>M6</xm:sqref>
            </x14:sparkline>
            <x14:sparkline>
              <xm:f>Sparklines!L6:L18</xm:f>
              <xm:sqref>M7</xm:sqref>
            </x14:sparkline>
            <x14:sparkline>
              <xm:f>Sparklines!L7:L19</xm:f>
              <xm:sqref>M8</xm:sqref>
            </x14:sparkline>
            <x14:sparkline>
              <xm:f>Sparklines!L8:L20</xm:f>
              <xm:sqref>M9</xm:sqref>
            </x14:sparkline>
            <x14:sparkline>
              <xm:f>Sparklines!L9:L21</xm:f>
              <xm:sqref>M10</xm:sqref>
            </x14:sparkline>
            <x14:sparkline>
              <xm:f>Sparklines!L10:L22</xm:f>
              <xm:sqref>M11</xm:sqref>
            </x14:sparkline>
            <x14:sparkline>
              <xm:f>Sparklines!L11:L23</xm:f>
              <xm:sqref>M12</xm:sqref>
            </x14:sparkline>
            <x14:sparkline>
              <xm:f>Sparklines!L12:L24</xm:f>
              <xm:sqref>M13</xm:sqref>
            </x14:sparkline>
            <x14:sparkline>
              <xm:f>Sparklines!L13:L25</xm:f>
              <xm:sqref>M14</xm:sqref>
            </x14:sparkline>
          </x14:sparklines>
        </x14:sparklineGroup>
        <x14:sparklineGroup type="column" displayEmptyCellsAs="gap" xr2:uid="{C544CCF3-9CA1-4FE8-A063-80366A9C229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Sparklines!N2:N13</xm:f>
              <xm:sqref>O2</xm:sqref>
            </x14:sparkline>
            <x14:sparkline>
              <xm:f>Sparklines!N3:N14</xm:f>
              <xm:sqref>O3</xm:sqref>
            </x14:sparkline>
            <x14:sparkline>
              <xm:f>Sparklines!N4:N15</xm:f>
              <xm:sqref>O4</xm:sqref>
            </x14:sparkline>
            <x14:sparkline>
              <xm:f>Sparklines!N5:N16</xm:f>
              <xm:sqref>O5</xm:sqref>
            </x14:sparkline>
            <x14:sparkline>
              <xm:f>Sparklines!N6:N17</xm:f>
              <xm:sqref>O6</xm:sqref>
            </x14:sparkline>
            <x14:sparkline>
              <xm:f>Sparklines!N7:N18</xm:f>
              <xm:sqref>O7</xm:sqref>
            </x14:sparkline>
            <x14:sparkline>
              <xm:f>Sparklines!N8:N19</xm:f>
              <xm:sqref>O8</xm:sqref>
            </x14:sparkline>
            <x14:sparkline>
              <xm:f>Sparklines!N9:N20</xm:f>
              <xm:sqref>O9</xm:sqref>
            </x14:sparkline>
            <x14:sparkline>
              <xm:f>Sparklines!N10:N21</xm:f>
              <xm:sqref>O10</xm:sqref>
            </x14:sparkline>
            <x14:sparkline>
              <xm:f>Sparklines!N11:N22</xm:f>
              <xm:sqref>O11</xm:sqref>
            </x14:sparkline>
            <x14:sparkline>
              <xm:f>Sparklines!N12:N23</xm:f>
              <xm:sqref>O12</xm:sqref>
            </x14:sparkline>
            <x14:sparkline>
              <xm:f>Sparklines!N13:N24</xm:f>
              <xm:sqref>O13</xm:sqref>
            </x14:sparkline>
          </x14:sparklines>
        </x14:sparklineGroup>
        <x14:sparklineGroup displayEmptyCellsAs="gap" xr2:uid="{44DDB776-8843-4999-B3BC-48EAA37EE357}">
          <x14:colorSeries theme="3" tint="0.34998626667073579"/>
          <x14:colorNegative theme="0" tint="-0.249977111117893"/>
          <x14:colorAxis rgb="FF000000"/>
          <x14:colorMarkers theme="0" tint="-0.249977111117893"/>
          <x14:colorFirst theme="0" tint="-0.249977111117893"/>
          <x14:colorLast theme="0" tint="-0.249977111117893"/>
          <x14:colorHigh theme="0" tint="-0.249977111117893"/>
          <x14:colorLow theme="0" tint="-0.249977111117893"/>
          <x14:sparklines>
            <x14:sparkline>
              <xm:f>Sparklines!P2:Q2</xm:f>
              <xm:sqref>P2</xm:sqref>
            </x14:sparkline>
            <x14:sparkline>
              <xm:f>Sparklines!P3:Q3</xm:f>
              <xm:sqref>P3</xm:sqref>
            </x14:sparkline>
            <x14:sparkline>
              <xm:f>Sparklines!P4:Q4</xm:f>
              <xm:sqref>P4</xm:sqref>
            </x14:sparkline>
            <x14:sparkline>
              <xm:f>Sparklines!P5:Q5</xm:f>
              <xm:sqref>P5</xm:sqref>
            </x14:sparkline>
            <x14:sparkline>
              <xm:f>Sparklines!P6:Q6</xm:f>
              <xm:sqref>P6</xm:sqref>
            </x14:sparkline>
            <x14:sparkline>
              <xm:f>Sparklines!P7:Q7</xm:f>
              <xm:sqref>P7</xm:sqref>
            </x14:sparkline>
            <x14:sparkline>
              <xm:f>Sparklines!P8:Q8</xm:f>
              <xm:sqref>P8</xm:sqref>
            </x14:sparkline>
            <x14:sparkline>
              <xm:f>Sparklines!P9:Q9</xm:f>
              <xm:sqref>P9</xm:sqref>
            </x14:sparkline>
          </x14:sparklines>
        </x14:sparklineGroup>
        <x14:sparklineGroup type="column" displayEmptyCellsAs="gap" xr2:uid="{2E9152DF-6073-40C7-9C65-8E197B2A790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Sparklines!P2:P9</xm:f>
              <xm:sqref>Q2</xm:sqref>
            </x14:sparkline>
            <x14:sparkline>
              <xm:f>Sparklines!P3:P10</xm:f>
              <xm:sqref>Q3</xm:sqref>
            </x14:sparkline>
            <x14:sparkline>
              <xm:f>Sparklines!P4:P11</xm:f>
              <xm:sqref>Q4</xm:sqref>
            </x14:sparkline>
            <x14:sparkline>
              <xm:f>Sparklines!P5:P12</xm:f>
              <xm:sqref>Q5</xm:sqref>
            </x14:sparkline>
            <x14:sparkline>
              <xm:f>Sparklines!P6:P13</xm:f>
              <xm:sqref>Q6</xm:sqref>
            </x14:sparkline>
            <x14:sparkline>
              <xm:f>Sparklines!P7:P14</xm:f>
              <xm:sqref>Q7</xm:sqref>
            </x14:sparkline>
            <x14:sparkline>
              <xm:f>Sparklines!P8:P15</xm:f>
              <xm:sqref>Q8</xm:sqref>
            </x14:sparkline>
            <x14:sparkline>
              <xm:f>Sparklines!P9:P16</xm:f>
              <xm:sqref>Q9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CED31-38D3-47DD-9831-CD2B6FD76FC4}">
  <sheetPr codeName="Sheet1">
    <tabColor rgb="FF00B0F0"/>
  </sheetPr>
  <dimension ref="A1:X29"/>
  <sheetViews>
    <sheetView zoomScale="110" zoomScaleNormal="110" workbookViewId="0">
      <selection activeCell="H7" sqref="H7"/>
    </sheetView>
  </sheetViews>
  <sheetFormatPr defaultRowHeight="15" x14ac:dyDescent="0.25"/>
  <cols>
    <col min="22" max="22" width="10.5703125" bestFit="1" customWidth="1"/>
    <col min="24" max="24" width="11.7109375" bestFit="1" customWidth="1"/>
  </cols>
  <sheetData>
    <row r="1" spans="1:24" x14ac:dyDescent="0.25">
      <c r="A1" s="13" t="s">
        <v>55</v>
      </c>
    </row>
    <row r="2" spans="1:24" x14ac:dyDescent="0.25">
      <c r="A2" s="5" t="s">
        <v>56</v>
      </c>
    </row>
    <row r="3" spans="1:24" x14ac:dyDescent="0.25">
      <c r="A3" s="5" t="s">
        <v>57</v>
      </c>
    </row>
    <row r="4" spans="1:24" x14ac:dyDescent="0.25">
      <c r="A4" s="5" t="s">
        <v>58</v>
      </c>
    </row>
    <row r="5" spans="1:24" x14ac:dyDescent="0.25">
      <c r="A5" s="5" t="s">
        <v>59</v>
      </c>
      <c r="M5" s="13" t="s">
        <v>76</v>
      </c>
      <c r="U5" s="27" t="s">
        <v>157</v>
      </c>
      <c r="V5" s="27" t="s">
        <v>160</v>
      </c>
      <c r="W5" s="27" t="s">
        <v>158</v>
      </c>
      <c r="X5" s="27" t="s">
        <v>161</v>
      </c>
    </row>
    <row r="6" spans="1:24" x14ac:dyDescent="0.25">
      <c r="A6" s="5" t="s">
        <v>60</v>
      </c>
      <c r="M6" s="5" t="s">
        <v>78</v>
      </c>
      <c r="N6" s="5"/>
      <c r="O6" s="5"/>
      <c r="P6" s="5"/>
      <c r="Q6" s="5"/>
      <c r="R6" s="5"/>
      <c r="S6" s="5"/>
      <c r="T6" s="5"/>
      <c r="U6" s="27" t="s">
        <v>156</v>
      </c>
      <c r="V6" s="27" t="s">
        <v>189</v>
      </c>
      <c r="W6" s="2">
        <v>101</v>
      </c>
      <c r="X6" s="2" t="s">
        <v>179</v>
      </c>
    </row>
    <row r="7" spans="1:24" x14ac:dyDescent="0.25">
      <c r="A7" s="5"/>
      <c r="K7" s="2" t="s">
        <v>156</v>
      </c>
      <c r="M7" s="5" t="s">
        <v>70</v>
      </c>
      <c r="N7" s="5"/>
      <c r="O7" s="5"/>
      <c r="P7" s="5"/>
      <c r="Q7" s="5"/>
      <c r="R7" s="5"/>
      <c r="S7" s="5"/>
      <c r="T7" s="5"/>
      <c r="U7" s="2" t="s">
        <v>162</v>
      </c>
      <c r="V7" s="2" t="s">
        <v>163</v>
      </c>
      <c r="W7" s="2">
        <v>102</v>
      </c>
      <c r="X7" s="2" t="s">
        <v>180</v>
      </c>
    </row>
    <row r="8" spans="1:24" x14ac:dyDescent="0.25">
      <c r="M8" s="5" t="s">
        <v>71</v>
      </c>
      <c r="N8" s="5"/>
      <c r="O8" s="5"/>
      <c r="P8" s="5"/>
      <c r="Q8" s="5"/>
      <c r="R8" s="5"/>
      <c r="S8" s="5"/>
      <c r="T8" s="5"/>
      <c r="U8" s="27" t="s">
        <v>164</v>
      </c>
      <c r="V8" s="27" t="s">
        <v>190</v>
      </c>
      <c r="W8" s="2">
        <v>103</v>
      </c>
      <c r="X8" s="2" t="s">
        <v>181</v>
      </c>
    </row>
    <row r="9" spans="1:24" x14ac:dyDescent="0.25">
      <c r="K9" s="2" t="s">
        <v>156</v>
      </c>
      <c r="M9" s="5" t="s">
        <v>72</v>
      </c>
      <c r="N9" s="5"/>
      <c r="O9" s="5"/>
      <c r="P9" s="5"/>
      <c r="Q9" s="5"/>
      <c r="R9" s="5"/>
      <c r="S9" s="5"/>
      <c r="T9" s="5"/>
      <c r="U9" s="2" t="s">
        <v>165</v>
      </c>
      <c r="V9" s="2" t="s">
        <v>166</v>
      </c>
      <c r="W9" s="2">
        <v>104</v>
      </c>
      <c r="X9" s="2" t="s">
        <v>182</v>
      </c>
    </row>
    <row r="10" spans="1:24" x14ac:dyDescent="0.25">
      <c r="K10" s="2" t="s">
        <v>156</v>
      </c>
      <c r="M10" s="5" t="s">
        <v>73</v>
      </c>
      <c r="N10" s="5"/>
      <c r="O10" s="5"/>
      <c r="P10" s="5"/>
      <c r="Q10" s="5"/>
      <c r="R10" s="5"/>
      <c r="S10" s="5"/>
      <c r="T10" s="5"/>
      <c r="U10" s="2" t="s">
        <v>167</v>
      </c>
      <c r="V10" s="2" t="s">
        <v>168</v>
      </c>
      <c r="W10" s="2">
        <v>105</v>
      </c>
      <c r="X10" s="2" t="s">
        <v>183</v>
      </c>
    </row>
    <row r="11" spans="1:24" x14ac:dyDescent="0.25">
      <c r="A11" s="24" t="s">
        <v>155</v>
      </c>
      <c r="K11" s="2" t="s">
        <v>156</v>
      </c>
      <c r="M11" s="5" t="s">
        <v>74</v>
      </c>
      <c r="N11" s="5"/>
      <c r="O11" s="5"/>
      <c r="P11" s="5"/>
      <c r="Q11" s="5"/>
      <c r="R11" s="5"/>
      <c r="S11" s="5"/>
      <c r="T11" s="5"/>
      <c r="U11" s="2" t="s">
        <v>169</v>
      </c>
      <c r="V11" s="2" t="s">
        <v>170</v>
      </c>
      <c r="W11" s="2">
        <v>106</v>
      </c>
      <c r="X11" s="2" t="s">
        <v>184</v>
      </c>
    </row>
    <row r="12" spans="1:24" x14ac:dyDescent="0.25">
      <c r="K12" s="2" t="s">
        <v>156</v>
      </c>
      <c r="M12" s="5" t="s">
        <v>75</v>
      </c>
      <c r="N12" s="5"/>
      <c r="O12" s="5"/>
      <c r="P12" s="5"/>
      <c r="Q12" s="5"/>
      <c r="R12" s="5"/>
      <c r="S12" s="5"/>
      <c r="T12" s="5"/>
      <c r="U12" s="2" t="s">
        <v>171</v>
      </c>
      <c r="V12" s="2" t="s">
        <v>172</v>
      </c>
      <c r="W12" s="2">
        <v>107</v>
      </c>
      <c r="X12" s="2" t="s">
        <v>185</v>
      </c>
    </row>
    <row r="13" spans="1:24" x14ac:dyDescent="0.25">
      <c r="A13" s="13" t="s">
        <v>61</v>
      </c>
      <c r="K13" s="2" t="s">
        <v>156</v>
      </c>
      <c r="M13" s="5" t="s">
        <v>69</v>
      </c>
      <c r="N13" s="5"/>
      <c r="O13" s="5"/>
      <c r="P13" s="5"/>
      <c r="Q13" s="5"/>
      <c r="R13" s="5"/>
      <c r="S13" s="5"/>
      <c r="T13" s="5"/>
      <c r="U13" s="2" t="s">
        <v>173</v>
      </c>
      <c r="V13" s="2" t="s">
        <v>174</v>
      </c>
      <c r="W13" s="2">
        <v>108</v>
      </c>
      <c r="X13" s="2" t="s">
        <v>186</v>
      </c>
    </row>
    <row r="14" spans="1:24" x14ac:dyDescent="0.25">
      <c r="A14" s="5" t="s">
        <v>65</v>
      </c>
      <c r="K14" s="2" t="s">
        <v>156</v>
      </c>
      <c r="U14" s="2" t="s">
        <v>175</v>
      </c>
      <c r="V14" s="2" t="s">
        <v>176</v>
      </c>
      <c r="W14" s="2">
        <v>109</v>
      </c>
      <c r="X14" s="2" t="s">
        <v>187</v>
      </c>
    </row>
    <row r="15" spans="1:24" x14ac:dyDescent="0.25">
      <c r="A15" s="5" t="s">
        <v>62</v>
      </c>
      <c r="K15" s="2" t="s">
        <v>156</v>
      </c>
      <c r="M15" s="13" t="s">
        <v>77</v>
      </c>
      <c r="U15" s="2" t="s">
        <v>177</v>
      </c>
      <c r="V15" s="2" t="s">
        <v>178</v>
      </c>
      <c r="W15" s="2">
        <v>110</v>
      </c>
      <c r="X15" s="2" t="s">
        <v>188</v>
      </c>
    </row>
    <row r="16" spans="1:24" x14ac:dyDescent="0.25">
      <c r="A16" s="5" t="s">
        <v>63</v>
      </c>
      <c r="K16" s="2" t="s">
        <v>156</v>
      </c>
      <c r="M16" s="5" t="s">
        <v>79</v>
      </c>
      <c r="U16" s="2"/>
      <c r="V16" s="2"/>
      <c r="W16" s="2"/>
      <c r="X16" s="2"/>
    </row>
    <row r="17" spans="1:24" x14ac:dyDescent="0.25">
      <c r="A17" s="5" t="s">
        <v>64</v>
      </c>
      <c r="K17" s="2" t="s">
        <v>156</v>
      </c>
      <c r="U17" s="2"/>
      <c r="V17" s="2"/>
      <c r="W17" s="2"/>
      <c r="X17" s="2"/>
    </row>
    <row r="18" spans="1:24" x14ac:dyDescent="0.25">
      <c r="U18" s="2"/>
      <c r="V18" s="2"/>
      <c r="W18" s="2"/>
      <c r="X18" s="2"/>
    </row>
    <row r="19" spans="1:24" x14ac:dyDescent="0.25">
      <c r="A19" s="13" t="s">
        <v>66</v>
      </c>
      <c r="O19" s="26" t="s">
        <v>157</v>
      </c>
      <c r="P19" s="26" t="s">
        <v>158</v>
      </c>
    </row>
    <row r="20" spans="1:24" x14ac:dyDescent="0.25">
      <c r="A20" s="5" t="s">
        <v>67</v>
      </c>
      <c r="O20" s="25" t="s">
        <v>156</v>
      </c>
      <c r="P20" s="25">
        <v>1</v>
      </c>
    </row>
    <row r="21" spans="1:24" x14ac:dyDescent="0.25">
      <c r="A21" s="5" t="s">
        <v>68</v>
      </c>
      <c r="O21" s="14" t="s">
        <v>159</v>
      </c>
      <c r="P21" s="14">
        <v>2</v>
      </c>
    </row>
    <row r="22" spans="1:24" x14ac:dyDescent="0.25">
      <c r="O22" s="2"/>
      <c r="P22" s="2"/>
    </row>
    <row r="23" spans="1:24" x14ac:dyDescent="0.25">
      <c r="O23" s="2"/>
      <c r="P23" s="2"/>
    </row>
    <row r="24" spans="1:24" x14ac:dyDescent="0.25">
      <c r="A24" s="34" t="s">
        <v>272</v>
      </c>
      <c r="O24" s="2"/>
      <c r="P24" s="2"/>
    </row>
    <row r="25" spans="1:24" x14ac:dyDescent="0.25">
      <c r="A25" s="5" t="s">
        <v>273</v>
      </c>
      <c r="O25" s="2"/>
      <c r="P25" s="2"/>
    </row>
    <row r="26" spans="1:24" x14ac:dyDescent="0.25">
      <c r="A26" s="5" t="s">
        <v>274</v>
      </c>
    </row>
    <row r="27" spans="1:24" x14ac:dyDescent="0.25">
      <c r="A27" s="5" t="s">
        <v>276</v>
      </c>
    </row>
    <row r="28" spans="1:24" x14ac:dyDescent="0.25">
      <c r="A28" s="5" t="s">
        <v>275</v>
      </c>
    </row>
    <row r="29" spans="1:24" x14ac:dyDescent="0.25">
      <c r="A29" s="5" t="s">
        <v>277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161925</xdr:colOff>
                <xdr:row>7</xdr:row>
                <xdr:rowOff>38100</xdr:rowOff>
              </from>
              <to>
                <xdr:col>2</xdr:col>
                <xdr:colOff>257175</xdr:colOff>
                <xdr:row>9</xdr:row>
                <xdr:rowOff>76200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4</xdr:col>
                <xdr:colOff>495300</xdr:colOff>
                <xdr:row>3</xdr:row>
                <xdr:rowOff>76200</xdr:rowOff>
              </from>
              <to>
                <xdr:col>7</xdr:col>
                <xdr:colOff>19050</xdr:colOff>
                <xdr:row>5</xdr:row>
                <xdr:rowOff>133350</xdr:rowOff>
              </to>
            </anchor>
          </controlPr>
        </control>
      </mc:Choice>
      <mc:Fallback>
        <control shapeId="4098" r:id="rId5" name="CommandButton2"/>
      </mc:Fallback>
    </mc:AlternateContent>
    <mc:AlternateContent xmlns:mc="http://schemas.openxmlformats.org/markup-compatibility/2006">
      <mc:Choice Requires="x14">
        <control shapeId="4099" r:id="rId7" name="Button 3">
          <controlPr defaultSize="0" print="0" autoFill="0" autoPict="0" macro="[0]!Button3_Click">
            <anchor moveWithCells="1" sizeWithCells="1">
              <from>
                <xdr:col>4</xdr:col>
                <xdr:colOff>447675</xdr:colOff>
                <xdr:row>7</xdr:row>
                <xdr:rowOff>47625</xdr:rowOff>
              </from>
              <to>
                <xdr:col>6</xdr:col>
                <xdr:colOff>495300</xdr:colOff>
                <xdr:row>9</xdr:row>
                <xdr:rowOff>104775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6D71-99A7-4C69-BF04-58B294B073D8}">
  <sheetPr codeName="Sheet8"/>
  <dimension ref="A1:I17"/>
  <sheetViews>
    <sheetView workbookViewId="0">
      <selection activeCell="G9" sqref="G9"/>
    </sheetView>
  </sheetViews>
  <sheetFormatPr defaultRowHeight="15" x14ac:dyDescent="0.25"/>
  <cols>
    <col min="4" max="4" width="11.28515625" bestFit="1" customWidth="1"/>
  </cols>
  <sheetData>
    <row r="1" spans="1:9" x14ac:dyDescent="0.25">
      <c r="A1" s="27" t="s">
        <v>248</v>
      </c>
      <c r="B1" s="27" t="s">
        <v>157</v>
      </c>
      <c r="C1" s="27" t="s">
        <v>249</v>
      </c>
      <c r="D1" s="27" t="s">
        <v>250</v>
      </c>
      <c r="I1" s="27" t="s">
        <v>249</v>
      </c>
    </row>
    <row r="2" spans="1:9" x14ac:dyDescent="0.25">
      <c r="A2" s="2">
        <v>1</v>
      </c>
      <c r="B2" s="2" t="s">
        <v>251</v>
      </c>
      <c r="C2" s="2">
        <v>20000</v>
      </c>
      <c r="D2" s="2" t="s">
        <v>260</v>
      </c>
      <c r="I2" s="14">
        <v>20000</v>
      </c>
    </row>
    <row r="3" spans="1:9" x14ac:dyDescent="0.25">
      <c r="A3" s="2">
        <v>2</v>
      </c>
      <c r="B3" s="2" t="s">
        <v>252</v>
      </c>
      <c r="C3" s="2">
        <v>35000</v>
      </c>
      <c r="D3" s="2" t="s">
        <v>261</v>
      </c>
      <c r="I3" s="14">
        <v>35000</v>
      </c>
    </row>
    <row r="4" spans="1:9" x14ac:dyDescent="0.25">
      <c r="A4" s="2">
        <v>3</v>
      </c>
      <c r="B4" s="2" t="s">
        <v>253</v>
      </c>
      <c r="C4" s="2">
        <v>50000</v>
      </c>
      <c r="D4" s="2" t="s">
        <v>262</v>
      </c>
      <c r="I4" s="14">
        <v>50000</v>
      </c>
    </row>
    <row r="5" spans="1:9" x14ac:dyDescent="0.25">
      <c r="A5" s="2">
        <v>4</v>
      </c>
      <c r="B5" s="2" t="s">
        <v>254</v>
      </c>
      <c r="C5" s="2">
        <v>45000</v>
      </c>
      <c r="D5" s="2" t="s">
        <v>263</v>
      </c>
      <c r="I5" s="14">
        <v>45000</v>
      </c>
    </row>
    <row r="6" spans="1:9" x14ac:dyDescent="0.25">
      <c r="A6" s="2">
        <v>5</v>
      </c>
      <c r="B6" s="2" t="s">
        <v>255</v>
      </c>
      <c r="C6" s="2">
        <v>15000</v>
      </c>
      <c r="D6" s="2" t="s">
        <v>264</v>
      </c>
      <c r="I6" s="14">
        <v>15000</v>
      </c>
    </row>
    <row r="7" spans="1:9" x14ac:dyDescent="0.25">
      <c r="A7" s="2">
        <v>6</v>
      </c>
      <c r="B7" s="2" t="s">
        <v>256</v>
      </c>
      <c r="C7" s="2">
        <v>35000</v>
      </c>
      <c r="D7" s="2" t="s">
        <v>265</v>
      </c>
      <c r="I7" s="14">
        <v>35000</v>
      </c>
    </row>
    <row r="8" spans="1:9" x14ac:dyDescent="0.25">
      <c r="A8" s="2">
        <v>7</v>
      </c>
      <c r="B8" s="2" t="s">
        <v>258</v>
      </c>
      <c r="C8" s="2">
        <v>45000</v>
      </c>
      <c r="D8" s="2" t="s">
        <v>266</v>
      </c>
      <c r="I8" s="14">
        <v>45000</v>
      </c>
    </row>
    <row r="9" spans="1:9" x14ac:dyDescent="0.25">
      <c r="A9" s="2">
        <v>8</v>
      </c>
      <c r="B9" s="2" t="s">
        <v>259</v>
      </c>
      <c r="C9" s="2">
        <v>28000</v>
      </c>
      <c r="D9" s="2" t="s">
        <v>267</v>
      </c>
      <c r="I9" s="14">
        <v>28000</v>
      </c>
    </row>
    <row r="10" spans="1:9" x14ac:dyDescent="0.25">
      <c r="A10" s="2">
        <v>9</v>
      </c>
      <c r="B10" s="2" t="s">
        <v>258</v>
      </c>
      <c r="C10" s="2">
        <v>30000</v>
      </c>
      <c r="D10" s="2" t="s">
        <v>268</v>
      </c>
      <c r="I10" s="14">
        <v>30000</v>
      </c>
    </row>
    <row r="11" spans="1:9" x14ac:dyDescent="0.25">
      <c r="A11" s="2">
        <v>10</v>
      </c>
      <c r="B11" s="2" t="s">
        <v>257</v>
      </c>
      <c r="C11" s="2">
        <v>45000</v>
      </c>
      <c r="D11" s="2" t="s">
        <v>269</v>
      </c>
      <c r="I11" s="14">
        <v>45000</v>
      </c>
    </row>
    <row r="12" spans="1:9" x14ac:dyDescent="0.25">
      <c r="I12" s="32">
        <f>SUM(I2:I11)</f>
        <v>348000</v>
      </c>
    </row>
    <row r="13" spans="1:9" x14ac:dyDescent="0.25">
      <c r="I13" s="33">
        <f>AVERAGE(I2:I11)</f>
        <v>34800</v>
      </c>
    </row>
    <row r="16" spans="1:9" x14ac:dyDescent="0.25">
      <c r="F16" t="s">
        <v>270</v>
      </c>
      <c r="G16">
        <v>295000</v>
      </c>
      <c r="H16">
        <v>348000</v>
      </c>
    </row>
    <row r="17" spans="6:8" x14ac:dyDescent="0.25">
      <c r="F17" t="s">
        <v>271</v>
      </c>
      <c r="G17">
        <v>29500</v>
      </c>
      <c r="H17">
        <v>34800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DA32-3BCD-4EB5-B6FA-C2332BBA9291}">
  <sheetPr codeName="Sheet6"/>
  <dimension ref="A1:B11"/>
  <sheetViews>
    <sheetView workbookViewId="0">
      <selection activeCell="G15" sqref="G15"/>
    </sheetView>
  </sheetViews>
  <sheetFormatPr defaultRowHeight="15" x14ac:dyDescent="0.25"/>
  <cols>
    <col min="2" max="2" width="10.5703125" bestFit="1" customWidth="1"/>
  </cols>
  <sheetData>
    <row r="1" spans="1:2" x14ac:dyDescent="0.25">
      <c r="A1" s="2" t="s">
        <v>157</v>
      </c>
      <c r="B1" s="2" t="s">
        <v>160</v>
      </c>
    </row>
    <row r="2" spans="1:2" x14ac:dyDescent="0.25">
      <c r="A2" s="27" t="s">
        <v>156</v>
      </c>
      <c r="B2" s="27" t="s">
        <v>189</v>
      </c>
    </row>
    <row r="3" spans="1:2" x14ac:dyDescent="0.25">
      <c r="A3" s="2" t="s">
        <v>162</v>
      </c>
      <c r="B3" s="2" t="s">
        <v>163</v>
      </c>
    </row>
    <row r="4" spans="1:2" x14ac:dyDescent="0.25">
      <c r="A4" s="27" t="s">
        <v>164</v>
      </c>
      <c r="B4" s="27" t="s">
        <v>190</v>
      </c>
    </row>
    <row r="5" spans="1:2" x14ac:dyDescent="0.25">
      <c r="A5" s="2" t="s">
        <v>165</v>
      </c>
      <c r="B5" s="2" t="s">
        <v>166</v>
      </c>
    </row>
    <row r="6" spans="1:2" x14ac:dyDescent="0.25">
      <c r="A6" s="2" t="s">
        <v>167</v>
      </c>
      <c r="B6" s="2" t="s">
        <v>168</v>
      </c>
    </row>
    <row r="7" spans="1:2" x14ac:dyDescent="0.25">
      <c r="A7" s="2" t="s">
        <v>169</v>
      </c>
      <c r="B7" s="2" t="s">
        <v>170</v>
      </c>
    </row>
    <row r="8" spans="1:2" x14ac:dyDescent="0.25">
      <c r="A8" s="2" t="s">
        <v>171</v>
      </c>
      <c r="B8" s="2" t="s">
        <v>172</v>
      </c>
    </row>
    <row r="9" spans="1:2" x14ac:dyDescent="0.25">
      <c r="A9" s="2" t="s">
        <v>173</v>
      </c>
      <c r="B9" s="2" t="s">
        <v>174</v>
      </c>
    </row>
    <row r="10" spans="1:2" x14ac:dyDescent="0.25">
      <c r="A10" s="2" t="s">
        <v>175</v>
      </c>
      <c r="B10" s="2" t="s">
        <v>176</v>
      </c>
    </row>
    <row r="11" spans="1:2" x14ac:dyDescent="0.25">
      <c r="A11" s="2" t="s">
        <v>177</v>
      </c>
      <c r="B11" s="2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BFD7-75FC-4F74-AE69-70965A409EC6}">
  <sheetPr codeName="Sheet7"/>
  <dimension ref="A1:K13"/>
  <sheetViews>
    <sheetView tabSelected="1" workbookViewId="0">
      <selection activeCell="N19" sqref="N19"/>
    </sheetView>
  </sheetViews>
  <sheetFormatPr defaultRowHeight="15" x14ac:dyDescent="0.25"/>
  <cols>
    <col min="2" max="2" width="11.7109375" bestFit="1" customWidth="1"/>
    <col min="3" max="3" width="12.140625" customWidth="1"/>
    <col min="9" max="9" width="11.7109375" bestFit="1" customWidth="1"/>
  </cols>
  <sheetData>
    <row r="1" spans="1:11" x14ac:dyDescent="0.25">
      <c r="A1" s="2" t="s">
        <v>158</v>
      </c>
      <c r="B1" s="2" t="s">
        <v>161</v>
      </c>
      <c r="C1" t="s">
        <v>281</v>
      </c>
      <c r="D1" t="s">
        <v>282</v>
      </c>
      <c r="H1" s="39" t="s">
        <v>158</v>
      </c>
      <c r="I1" s="39" t="s">
        <v>161</v>
      </c>
      <c r="J1" s="39" t="s">
        <v>281</v>
      </c>
      <c r="K1" s="39" t="s">
        <v>282</v>
      </c>
    </row>
    <row r="2" spans="1:11" x14ac:dyDescent="0.25">
      <c r="A2" s="2">
        <v>101</v>
      </c>
      <c r="B2" s="2" t="s">
        <v>179</v>
      </c>
      <c r="C2">
        <v>100</v>
      </c>
      <c r="D2">
        <v>500</v>
      </c>
      <c r="H2" s="40">
        <v>101</v>
      </c>
      <c r="I2" s="40" t="s">
        <v>179</v>
      </c>
      <c r="J2" s="40">
        <v>100</v>
      </c>
      <c r="K2" s="40">
        <v>500</v>
      </c>
    </row>
    <row r="3" spans="1:11" x14ac:dyDescent="0.25">
      <c r="A3" s="2">
        <v>102</v>
      </c>
      <c r="B3" s="2" t="s">
        <v>180</v>
      </c>
      <c r="C3">
        <v>200</v>
      </c>
      <c r="D3">
        <v>600</v>
      </c>
      <c r="H3" s="40">
        <v>102</v>
      </c>
      <c r="I3" s="40" t="s">
        <v>180</v>
      </c>
      <c r="J3" s="40">
        <v>200</v>
      </c>
      <c r="K3" s="40">
        <v>600</v>
      </c>
    </row>
    <row r="4" spans="1:11" x14ac:dyDescent="0.25">
      <c r="A4" s="2">
        <v>103</v>
      </c>
      <c r="B4" s="2" t="s">
        <v>181</v>
      </c>
      <c r="C4">
        <v>300</v>
      </c>
      <c r="D4">
        <v>700</v>
      </c>
      <c r="H4" s="40">
        <v>103</v>
      </c>
      <c r="I4" s="40" t="s">
        <v>181</v>
      </c>
      <c r="J4" s="40">
        <v>300</v>
      </c>
      <c r="K4" s="40">
        <v>700</v>
      </c>
    </row>
    <row r="5" spans="1:11" x14ac:dyDescent="0.25">
      <c r="A5" s="2">
        <v>104</v>
      </c>
      <c r="B5" s="2" t="s">
        <v>182</v>
      </c>
      <c r="C5">
        <v>400</v>
      </c>
      <c r="D5">
        <v>800</v>
      </c>
      <c r="H5" s="40">
        <v>104</v>
      </c>
      <c r="I5" s="40" t="s">
        <v>182</v>
      </c>
      <c r="J5" s="40">
        <v>400</v>
      </c>
      <c r="K5" s="40">
        <v>800</v>
      </c>
    </row>
    <row r="6" spans="1:11" x14ac:dyDescent="0.25">
      <c r="A6" s="2">
        <v>105</v>
      </c>
      <c r="B6" s="2" t="s">
        <v>183</v>
      </c>
      <c r="C6">
        <v>500</v>
      </c>
      <c r="D6">
        <v>900</v>
      </c>
      <c r="H6" s="40">
        <v>105</v>
      </c>
      <c r="I6" s="40" t="s">
        <v>183</v>
      </c>
      <c r="J6" s="40">
        <v>500</v>
      </c>
      <c r="K6" s="40">
        <v>900</v>
      </c>
    </row>
    <row r="7" spans="1:11" x14ac:dyDescent="0.25">
      <c r="A7" s="2">
        <v>106</v>
      </c>
      <c r="B7" s="2" t="s">
        <v>184</v>
      </c>
      <c r="C7">
        <v>600</v>
      </c>
      <c r="D7">
        <v>1000</v>
      </c>
      <c r="H7" s="40">
        <v>106</v>
      </c>
      <c r="I7" s="40" t="s">
        <v>184</v>
      </c>
      <c r="J7" s="40">
        <v>600</v>
      </c>
      <c r="K7" s="40">
        <v>1000</v>
      </c>
    </row>
    <row r="8" spans="1:11" x14ac:dyDescent="0.25">
      <c r="A8" s="2">
        <v>107</v>
      </c>
      <c r="B8" s="2" t="s">
        <v>185</v>
      </c>
      <c r="C8">
        <v>700</v>
      </c>
      <c r="D8">
        <v>1100</v>
      </c>
      <c r="H8" s="40">
        <v>107</v>
      </c>
      <c r="I8" s="40" t="s">
        <v>185</v>
      </c>
      <c r="J8" s="40">
        <v>700</v>
      </c>
      <c r="K8" s="40">
        <v>1100</v>
      </c>
    </row>
    <row r="9" spans="1:11" x14ac:dyDescent="0.25">
      <c r="A9" s="2">
        <v>108</v>
      </c>
      <c r="B9" s="2" t="s">
        <v>186</v>
      </c>
      <c r="C9">
        <v>800</v>
      </c>
      <c r="D9">
        <v>1200</v>
      </c>
      <c r="H9" s="40">
        <v>108</v>
      </c>
      <c r="I9" s="40" t="s">
        <v>186</v>
      </c>
      <c r="J9" s="40">
        <v>800</v>
      </c>
      <c r="K9" s="40">
        <v>1200</v>
      </c>
    </row>
    <row r="10" spans="1:11" x14ac:dyDescent="0.25">
      <c r="A10" s="2">
        <v>109</v>
      </c>
      <c r="B10" s="2" t="s">
        <v>187</v>
      </c>
      <c r="C10">
        <v>900</v>
      </c>
      <c r="D10">
        <v>1300</v>
      </c>
      <c r="H10" s="40">
        <v>109</v>
      </c>
      <c r="I10" s="40" t="s">
        <v>187</v>
      </c>
      <c r="J10" s="40">
        <v>900</v>
      </c>
      <c r="K10" s="40">
        <v>1300</v>
      </c>
    </row>
    <row r="11" spans="1:11" x14ac:dyDescent="0.25">
      <c r="A11" s="2">
        <v>110</v>
      </c>
      <c r="B11" s="2" t="s">
        <v>188</v>
      </c>
      <c r="C11">
        <v>1000</v>
      </c>
      <c r="D11">
        <v>1400</v>
      </c>
      <c r="H11" s="40">
        <v>110</v>
      </c>
      <c r="I11" s="40" t="s">
        <v>188</v>
      </c>
      <c r="J11" s="40">
        <v>1000</v>
      </c>
      <c r="K11" s="40">
        <v>1400</v>
      </c>
    </row>
    <row r="13" spans="1:11" x14ac:dyDescent="0.25">
      <c r="I13" s="27" t="s">
        <v>283</v>
      </c>
      <c r="J13" s="27">
        <f>SUM(J2:J11)</f>
        <v>5500</v>
      </c>
      <c r="K13" s="27">
        <f>SUM(K2:K11)</f>
        <v>9500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3F0C-E0C0-4C54-9149-9BA28B572CC4}">
  <sheetPr codeName="Sheet5">
    <tabColor rgb="FFFF0000"/>
  </sheetPr>
  <dimension ref="A1:AG42"/>
  <sheetViews>
    <sheetView workbookViewId="0"/>
  </sheetViews>
  <sheetFormatPr defaultRowHeight="15" x14ac:dyDescent="0.25"/>
  <cols>
    <col min="1" max="1" width="35.42578125" bestFit="1" customWidth="1"/>
    <col min="2" max="2" width="11.42578125" customWidth="1"/>
    <col min="4" max="4" width="17.42578125" customWidth="1"/>
    <col min="6" max="6" width="17.42578125" customWidth="1"/>
    <col min="10" max="10" width="5.28515625" customWidth="1"/>
    <col min="11" max="11" width="6.28515625" customWidth="1"/>
    <col min="12" max="12" width="3.5703125" customWidth="1"/>
    <col min="13" max="13" width="5.42578125" bestFit="1" customWidth="1"/>
    <col min="14" max="14" width="3.140625" customWidth="1"/>
    <col min="15" max="15" width="3.5703125" customWidth="1"/>
    <col min="16" max="17" width="3.7109375" customWidth="1"/>
    <col min="18" max="18" width="4.28515625" customWidth="1"/>
    <col min="20" max="22" width="6.28515625" bestFit="1" customWidth="1"/>
    <col min="25" max="25" width="13.85546875" bestFit="1" customWidth="1"/>
    <col min="26" max="26" width="14.28515625" bestFit="1" customWidth="1"/>
    <col min="27" max="28" width="11.140625" customWidth="1"/>
    <col min="30" max="30" width="9.42578125" bestFit="1" customWidth="1"/>
  </cols>
  <sheetData>
    <row r="1" spans="1:33" ht="16.5" customHeight="1" x14ac:dyDescent="0.25">
      <c r="A1" s="16" t="s">
        <v>82</v>
      </c>
      <c r="S1" s="15" t="s">
        <v>104</v>
      </c>
      <c r="Y1" s="15" t="s">
        <v>110</v>
      </c>
      <c r="AB1" s="15" t="s">
        <v>132</v>
      </c>
      <c r="AE1" t="s">
        <v>133</v>
      </c>
      <c r="AG1" t="s">
        <v>134</v>
      </c>
    </row>
    <row r="2" spans="1:33" ht="21.75" customHeight="1" x14ac:dyDescent="0.25">
      <c r="A2" s="5" t="s">
        <v>83</v>
      </c>
      <c r="C2" s="17" t="s">
        <v>1</v>
      </c>
      <c r="D2" s="17" t="s">
        <v>40</v>
      </c>
      <c r="F2" s="16" t="s">
        <v>89</v>
      </c>
      <c r="S2" s="5" t="s">
        <v>105</v>
      </c>
      <c r="Y2" s="5" t="s">
        <v>115</v>
      </c>
      <c r="AB2" s="4" t="s">
        <v>1</v>
      </c>
      <c r="AC2" s="4" t="s">
        <v>107</v>
      </c>
      <c r="AE2" s="4" t="s">
        <v>107</v>
      </c>
      <c r="AF2" s="4" t="s">
        <v>1</v>
      </c>
      <c r="AG2" s="4" t="s">
        <v>107</v>
      </c>
    </row>
    <row r="3" spans="1:33" x14ac:dyDescent="0.25">
      <c r="A3" s="5" t="s">
        <v>84</v>
      </c>
      <c r="C3" s="7" t="s">
        <v>5</v>
      </c>
      <c r="D3" s="7">
        <v>500</v>
      </c>
      <c r="H3" t="s">
        <v>90</v>
      </c>
      <c r="Y3" s="5" t="s">
        <v>111</v>
      </c>
      <c r="AA3" s="20">
        <v>20</v>
      </c>
      <c r="AB3" s="19" t="s">
        <v>5</v>
      </c>
      <c r="AC3" s="20">
        <v>20</v>
      </c>
      <c r="AE3" s="2" cm="1">
        <f t="array" ref="AE3:AE8">_xlfn.XLOOKUP(AF3:AF8,AB3:AB8,AA3:AA8)</f>
        <v>20</v>
      </c>
      <c r="AF3" s="19" t="s">
        <v>5</v>
      </c>
      <c r="AG3" s="2" cm="1">
        <f t="array" ref="AG3:AG8">_xlfn.XLOOKUP(AF3:AF8,AB3:AB8,AC3:AC8)</f>
        <v>20</v>
      </c>
    </row>
    <row r="4" spans="1:33" x14ac:dyDescent="0.25">
      <c r="A4" s="5" t="s">
        <v>85</v>
      </c>
      <c r="C4" s="7" t="s">
        <v>6</v>
      </c>
      <c r="D4" s="7">
        <v>550</v>
      </c>
      <c r="F4" t="s">
        <v>91</v>
      </c>
      <c r="G4" t="s">
        <v>92</v>
      </c>
      <c r="H4" t="s">
        <v>93</v>
      </c>
      <c r="I4" t="s">
        <v>92</v>
      </c>
      <c r="J4" t="s">
        <v>94</v>
      </c>
      <c r="K4" t="s">
        <v>95</v>
      </c>
      <c r="L4" t="s">
        <v>95</v>
      </c>
      <c r="Y4" s="5" t="s">
        <v>112</v>
      </c>
      <c r="AA4" s="2">
        <v>20</v>
      </c>
      <c r="AB4" s="2" t="s">
        <v>6</v>
      </c>
      <c r="AC4" s="2">
        <v>20</v>
      </c>
      <c r="AE4" s="2">
        <v>20</v>
      </c>
      <c r="AF4" s="2" t="s">
        <v>6</v>
      </c>
      <c r="AG4" s="2">
        <v>20</v>
      </c>
    </row>
    <row r="5" spans="1:33" x14ac:dyDescent="0.25">
      <c r="A5" s="5" t="s">
        <v>86</v>
      </c>
      <c r="C5" s="7" t="s">
        <v>7</v>
      </c>
      <c r="D5" s="7">
        <v>600</v>
      </c>
      <c r="F5">
        <v>30</v>
      </c>
      <c r="S5" s="15" t="s">
        <v>106</v>
      </c>
      <c r="AA5" s="2">
        <v>10</v>
      </c>
      <c r="AB5" s="3" t="s">
        <v>7</v>
      </c>
      <c r="AC5" s="2">
        <v>10</v>
      </c>
      <c r="AE5" s="2">
        <v>10</v>
      </c>
      <c r="AF5" s="3" t="s">
        <v>7</v>
      </c>
      <c r="AG5" s="2">
        <v>10</v>
      </c>
    </row>
    <row r="6" spans="1:33" x14ac:dyDescent="0.25">
      <c r="A6" s="5" t="s">
        <v>87</v>
      </c>
      <c r="C6" s="7" t="s">
        <v>8</v>
      </c>
      <c r="D6" s="7">
        <v>580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S6" s="4" t="s">
        <v>1</v>
      </c>
      <c r="T6" s="4" t="s">
        <v>107</v>
      </c>
      <c r="U6" s="4" t="s">
        <v>108</v>
      </c>
      <c r="V6" s="4" t="s">
        <v>109</v>
      </c>
      <c r="AA6" s="2">
        <v>30</v>
      </c>
      <c r="AB6" s="2" t="s">
        <v>8</v>
      </c>
      <c r="AC6" s="2">
        <v>30</v>
      </c>
      <c r="AE6" s="2">
        <v>30</v>
      </c>
      <c r="AF6" s="2" t="s">
        <v>8</v>
      </c>
      <c r="AG6" s="2">
        <v>30</v>
      </c>
    </row>
    <row r="7" spans="1:33" x14ac:dyDescent="0.25">
      <c r="A7" s="5" t="s">
        <v>88</v>
      </c>
      <c r="C7" s="7" t="s">
        <v>9</v>
      </c>
      <c r="D7" s="7">
        <v>620</v>
      </c>
      <c r="F7" t="s">
        <v>96</v>
      </c>
      <c r="G7">
        <v>9</v>
      </c>
      <c r="H7">
        <v>10</v>
      </c>
      <c r="I7">
        <v>11</v>
      </c>
      <c r="J7">
        <v>12</v>
      </c>
      <c r="K7">
        <v>13</v>
      </c>
      <c r="L7">
        <v>14</v>
      </c>
      <c r="M7">
        <v>15</v>
      </c>
      <c r="S7" s="19" t="s">
        <v>5</v>
      </c>
      <c r="T7" s="20">
        <v>20</v>
      </c>
      <c r="U7" s="20">
        <v>10</v>
      </c>
      <c r="V7" s="20">
        <v>20</v>
      </c>
      <c r="W7" s="21" t="b">
        <v>0</v>
      </c>
      <c r="Y7" s="15" t="s">
        <v>121</v>
      </c>
      <c r="AA7" s="2">
        <v>70</v>
      </c>
      <c r="AB7" s="3" t="s">
        <v>9</v>
      </c>
      <c r="AC7" s="2">
        <v>70</v>
      </c>
      <c r="AE7" s="2">
        <v>70</v>
      </c>
      <c r="AF7" s="3" t="s">
        <v>9</v>
      </c>
      <c r="AG7" s="2">
        <v>70</v>
      </c>
    </row>
    <row r="8" spans="1:33" x14ac:dyDescent="0.25">
      <c r="C8" s="7" t="s">
        <v>10</v>
      </c>
      <c r="D8" s="7">
        <v>650</v>
      </c>
      <c r="F8" t="s">
        <v>97</v>
      </c>
      <c r="S8" s="2" t="s">
        <v>6</v>
      </c>
      <c r="T8" s="2">
        <v>20</v>
      </c>
      <c r="U8" s="2">
        <v>15</v>
      </c>
      <c r="V8" s="2">
        <v>25</v>
      </c>
      <c r="W8" s="18" t="b">
        <v>0</v>
      </c>
      <c r="Y8" s="4" t="s">
        <v>120</v>
      </c>
      <c r="AA8" s="2">
        <v>25</v>
      </c>
      <c r="AB8" s="2" t="s">
        <v>10</v>
      </c>
      <c r="AC8" s="2">
        <v>25</v>
      </c>
      <c r="AE8" s="2">
        <v>25</v>
      </c>
      <c r="AF8" s="2" t="s">
        <v>10</v>
      </c>
      <c r="AG8" s="2">
        <v>25</v>
      </c>
    </row>
    <row r="9" spans="1:33" x14ac:dyDescent="0.25">
      <c r="C9" s="7" t="s">
        <v>11</v>
      </c>
      <c r="D9" s="7">
        <v>700</v>
      </c>
      <c r="F9" t="s">
        <v>98</v>
      </c>
      <c r="S9" s="3" t="s">
        <v>7</v>
      </c>
      <c r="T9" s="2">
        <v>10</v>
      </c>
      <c r="U9" s="2">
        <v>9</v>
      </c>
      <c r="V9" s="2">
        <v>35</v>
      </c>
      <c r="W9" s="18" t="b">
        <v>1</v>
      </c>
      <c r="Y9" s="2" t="s">
        <v>116</v>
      </c>
      <c r="Z9" t="str">
        <f>_xlfn.TEXTAFTER(Y9,"-")</f>
        <v>50</v>
      </c>
    </row>
    <row r="10" spans="1:33" x14ac:dyDescent="0.25">
      <c r="F10" s="5" t="s">
        <v>99</v>
      </c>
      <c r="S10" s="2" t="s">
        <v>8</v>
      </c>
      <c r="T10" s="2">
        <v>30</v>
      </c>
      <c r="U10" s="2">
        <v>15</v>
      </c>
      <c r="V10" s="2">
        <v>28</v>
      </c>
      <c r="W10" s="18" t="b">
        <v>1</v>
      </c>
      <c r="Y10" s="2" t="s">
        <v>117</v>
      </c>
      <c r="Z10" t="str">
        <f t="shared" ref="Z10:Z12" si="0">_xlfn.TEXTAFTER(Y10,"-")</f>
        <v>100</v>
      </c>
      <c r="AB10" s="15" t="s">
        <v>135</v>
      </c>
    </row>
    <row r="11" spans="1:33" x14ac:dyDescent="0.25">
      <c r="F11" s="5" t="s">
        <v>100</v>
      </c>
      <c r="S11" s="3" t="s">
        <v>9</v>
      </c>
      <c r="T11" s="2">
        <v>70</v>
      </c>
      <c r="U11" s="2">
        <v>20</v>
      </c>
      <c r="V11" s="2">
        <v>29</v>
      </c>
      <c r="W11" s="18" t="b">
        <v>0</v>
      </c>
      <c r="Y11" s="2" t="s">
        <v>118</v>
      </c>
      <c r="Z11" t="str">
        <f t="shared" si="0"/>
        <v>600</v>
      </c>
    </row>
    <row r="12" spans="1:33" x14ac:dyDescent="0.25">
      <c r="F12" s="5" t="s">
        <v>101</v>
      </c>
      <c r="S12" s="2" t="s">
        <v>10</v>
      </c>
      <c r="T12" s="2">
        <v>25</v>
      </c>
      <c r="U12" s="2">
        <v>25</v>
      </c>
      <c r="V12" s="2">
        <v>40</v>
      </c>
      <c r="W12" s="18" t="b">
        <v>0</v>
      </c>
      <c r="Y12" s="2" t="s">
        <v>119</v>
      </c>
      <c r="Z12" t="str">
        <f t="shared" si="0"/>
        <v>1000</v>
      </c>
      <c r="AB12" s="15" t="s">
        <v>136</v>
      </c>
    </row>
    <row r="13" spans="1:33" x14ac:dyDescent="0.25">
      <c r="F13" s="5" t="s">
        <v>102</v>
      </c>
      <c r="S13" s="3" t="s">
        <v>11</v>
      </c>
      <c r="T13" s="2">
        <v>35</v>
      </c>
      <c r="U13" s="2">
        <v>30</v>
      </c>
      <c r="V13" s="2">
        <v>15</v>
      </c>
      <c r="W13" s="18" t="b">
        <v>0</v>
      </c>
    </row>
    <row r="14" spans="1:33" x14ac:dyDescent="0.25">
      <c r="F14" s="5" t="s">
        <v>103</v>
      </c>
      <c r="S14" s="2" t="s">
        <v>12</v>
      </c>
      <c r="T14" s="2">
        <v>50</v>
      </c>
      <c r="U14" s="2">
        <v>25</v>
      </c>
      <c r="V14" s="2">
        <v>12</v>
      </c>
      <c r="W14" s="18" t="b">
        <v>0</v>
      </c>
      <c r="AB14" s="15" t="s">
        <v>137</v>
      </c>
      <c r="AD14" s="22"/>
    </row>
    <row r="15" spans="1:33" x14ac:dyDescent="0.25">
      <c r="F15" s="5"/>
      <c r="S15" s="3" t="s">
        <v>13</v>
      </c>
      <c r="T15" s="2">
        <v>31</v>
      </c>
      <c r="U15" s="2">
        <v>20</v>
      </c>
      <c r="V15" s="2">
        <v>13</v>
      </c>
      <c r="W15" s="18" t="b">
        <v>0</v>
      </c>
      <c r="Y15" s="16" t="s">
        <v>123</v>
      </c>
    </row>
    <row r="16" spans="1:33" x14ac:dyDescent="0.25">
      <c r="S16" s="3" t="s">
        <v>14</v>
      </c>
      <c r="T16" s="2">
        <v>15</v>
      </c>
      <c r="U16" s="2">
        <v>15</v>
      </c>
      <c r="V16" s="2">
        <v>20</v>
      </c>
      <c r="W16" s="18" t="b">
        <v>0</v>
      </c>
      <c r="Y16" s="2" t="s">
        <v>122</v>
      </c>
      <c r="Z16" s="2" t="str">
        <f>_xlfn.TRANSLATE(Y16,"en","hi")</f>
        <v>हैलो वर्ल्ड</v>
      </c>
    </row>
    <row r="17" spans="1:26" x14ac:dyDescent="0.25">
      <c r="S17" s="2" t="s">
        <v>15</v>
      </c>
      <c r="T17" s="2">
        <v>10</v>
      </c>
      <c r="U17" s="2">
        <v>14</v>
      </c>
      <c r="V17" s="2">
        <v>30</v>
      </c>
      <c r="W17" s="18" t="b">
        <v>0</v>
      </c>
      <c r="Y17" s="2" t="s">
        <v>124</v>
      </c>
      <c r="Z17" s="2" t="str">
        <f>_xlfn.TRANSLATE(Y17,"en","hi")</f>
        <v>सेब 🍏</v>
      </c>
    </row>
    <row r="18" spans="1:26" x14ac:dyDescent="0.25">
      <c r="S18" s="3" t="s">
        <v>16</v>
      </c>
      <c r="T18" s="2">
        <v>25</v>
      </c>
      <c r="U18" s="2">
        <v>12</v>
      </c>
      <c r="V18" s="2">
        <v>15</v>
      </c>
      <c r="W18" s="18" t="b">
        <v>0</v>
      </c>
      <c r="Y18" s="2" t="s">
        <v>125</v>
      </c>
      <c r="Z18" s="2" t="str">
        <f t="shared" ref="Z18:Z24" si="1">_xlfn.TRANSLATE(Y18,"en","hi")</f>
        <v>केला 🍌</v>
      </c>
    </row>
    <row r="19" spans="1:26" x14ac:dyDescent="0.25">
      <c r="S19" s="5" t="s">
        <v>113</v>
      </c>
      <c r="Y19" s="2" t="s">
        <v>126</v>
      </c>
      <c r="Z19" s="2" t="str">
        <f t="shared" si="1"/>
        <v>आम 🥭</v>
      </c>
    </row>
    <row r="20" spans="1:26" x14ac:dyDescent="0.25">
      <c r="S20" s="5" t="s">
        <v>114</v>
      </c>
      <c r="Y20" s="2" t="s">
        <v>127</v>
      </c>
      <c r="Z20" s="2" t="str">
        <f t="shared" si="1"/>
        <v>नारंगी 🍊</v>
      </c>
    </row>
    <row r="21" spans="1:26" x14ac:dyDescent="0.25">
      <c r="Y21" s="2" t="s">
        <v>128</v>
      </c>
      <c r="Z21" s="2" t="str">
        <f t="shared" si="1"/>
        <v>अंगूर 🍇</v>
      </c>
    </row>
    <row r="22" spans="1:26" x14ac:dyDescent="0.25">
      <c r="Y22" s="2" t="s">
        <v>129</v>
      </c>
      <c r="Z22" s="2" t="str">
        <f t="shared" si="1"/>
        <v>अनन्‍नास 🍍</v>
      </c>
    </row>
    <row r="23" spans="1:26" x14ac:dyDescent="0.25">
      <c r="Y23" s="2" t="s">
        <v>130</v>
      </c>
      <c r="Z23" s="2" t="str">
        <f t="shared" si="1"/>
        <v>स्‍ट्रॉबेरि फल 🍓</v>
      </c>
    </row>
    <row r="24" spans="1:26" x14ac:dyDescent="0.25">
      <c r="Y24" s="2" t="s">
        <v>131</v>
      </c>
      <c r="Z24" s="2" t="str">
        <f t="shared" si="1"/>
        <v>तरबूज़</v>
      </c>
    </row>
    <row r="26" spans="1:26" x14ac:dyDescent="0.25">
      <c r="A26" s="16" t="s">
        <v>138</v>
      </c>
    </row>
    <row r="27" spans="1:26" x14ac:dyDescent="0.25">
      <c r="A27" s="14" t="s">
        <v>154</v>
      </c>
    </row>
    <row r="28" spans="1:26" ht="42" customHeight="1" x14ac:dyDescent="0.25">
      <c r="A28" s="23" t="s">
        <v>139</v>
      </c>
      <c r="B28" t="e" vm="1">
        <v>#VALUE!</v>
      </c>
    </row>
    <row r="29" spans="1:26" ht="43.5" customHeight="1" x14ac:dyDescent="0.25">
      <c r="A29" s="23" t="s">
        <v>140</v>
      </c>
      <c r="B29" t="e" vm="2">
        <f>_xlfn.IMAGE("https://c.ndtvimg.com/2025-01/3v5kk74o_shubman-gill_625x300_18_January_25.jpg?im=FeatureCrop,algorithm=dnn,width=806,height=605")</f>
        <v>#VALUE!</v>
      </c>
    </row>
    <row r="30" spans="1:26" ht="43.5" customHeight="1" x14ac:dyDescent="0.25">
      <c r="A30" s="23" t="s">
        <v>141</v>
      </c>
      <c r="B30" t="e" vm="3">
        <f>_xlfn.IMAGE("https://encrypted-tbn3.gstatic.com/licensed-image?q=tbn:ANd9GcTC6vBReh7p0IdW5F5rAwRBTmJNcDeJzUR21ZaKE1_1h1memFkYk6o2qG7lGHJArg5GUb0lK63F_opIZiY")</f>
        <v>#VALUE!</v>
      </c>
    </row>
    <row r="31" spans="1:26" x14ac:dyDescent="0.25">
      <c r="A31" s="23" t="s">
        <v>142</v>
      </c>
    </row>
    <row r="32" spans="1:26" x14ac:dyDescent="0.25">
      <c r="A32" s="23" t="s">
        <v>143</v>
      </c>
    </row>
    <row r="33" spans="1:1" x14ac:dyDescent="0.25">
      <c r="A33" s="23" t="s">
        <v>144</v>
      </c>
    </row>
    <row r="34" spans="1:1" x14ac:dyDescent="0.25">
      <c r="A34" s="23" t="s">
        <v>145</v>
      </c>
    </row>
    <row r="35" spans="1:1" x14ac:dyDescent="0.25">
      <c r="A35" s="23" t="s">
        <v>146</v>
      </c>
    </row>
    <row r="36" spans="1:1" x14ac:dyDescent="0.25">
      <c r="A36" s="23" t="s">
        <v>147</v>
      </c>
    </row>
    <row r="37" spans="1:1" x14ac:dyDescent="0.25">
      <c r="A37" s="23" t="s">
        <v>148</v>
      </c>
    </row>
    <row r="38" spans="1:1" x14ac:dyDescent="0.25">
      <c r="A38" s="23" t="s">
        <v>149</v>
      </c>
    </row>
    <row r="39" spans="1:1" x14ac:dyDescent="0.25">
      <c r="A39" s="23" t="s">
        <v>150</v>
      </c>
    </row>
    <row r="40" spans="1:1" x14ac:dyDescent="0.25">
      <c r="A40" s="23" t="s">
        <v>151</v>
      </c>
    </row>
    <row r="41" spans="1:1" x14ac:dyDescent="0.25">
      <c r="A41" s="23" t="s">
        <v>152</v>
      </c>
    </row>
    <row r="42" spans="1:1" x14ac:dyDescent="0.25">
      <c r="A42" s="23" t="s">
        <v>153</v>
      </c>
    </row>
  </sheetData>
  <hyperlinks>
    <hyperlink ref="W7" r:id="rId1" display="Advance Excel class sheets-4.xlsx" xr:uid="{D0503390-56AC-49C5-9652-F60F95B9A9C8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7F83A-CF9F-46DA-94F1-3E3516B5BEEF}">
  <sheetPr codeName="Sheet9">
    <tabColor rgb="FF0070C0"/>
  </sheetPr>
  <dimension ref="A1:P50"/>
  <sheetViews>
    <sheetView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I31" sqref="I31"/>
    </sheetView>
  </sheetViews>
  <sheetFormatPr defaultRowHeight="15" x14ac:dyDescent="0.25"/>
  <cols>
    <col min="1" max="1" width="10.140625" style="5" customWidth="1"/>
    <col min="2" max="2" width="11.140625" customWidth="1"/>
    <col min="3" max="3" width="14.28515625" customWidth="1"/>
    <col min="9" max="9" width="15.42578125" customWidth="1"/>
    <col min="10" max="10" width="16.7109375" customWidth="1"/>
    <col min="11" max="11" width="23" bestFit="1" customWidth="1"/>
    <col min="15" max="15" width="15.140625" bestFit="1" customWidth="1"/>
    <col min="16" max="16" width="16.85546875" bestFit="1" customWidth="1"/>
  </cols>
  <sheetData>
    <row r="1" spans="1:16" ht="18" x14ac:dyDescent="0.25">
      <c r="A1" s="29" t="s">
        <v>196</v>
      </c>
      <c r="I1" s="5" t="s">
        <v>237</v>
      </c>
      <c r="K1" s="5" t="s">
        <v>238</v>
      </c>
      <c r="M1" s="4" t="s">
        <v>1</v>
      </c>
      <c r="N1" s="4" t="s">
        <v>2</v>
      </c>
      <c r="O1" s="4" t="s">
        <v>4</v>
      </c>
      <c r="P1" s="4" t="s">
        <v>3</v>
      </c>
    </row>
    <row r="2" spans="1:16" x14ac:dyDescent="0.25">
      <c r="A2" s="30" t="s">
        <v>203</v>
      </c>
      <c r="G2" s="2">
        <v>25</v>
      </c>
      <c r="I2" s="2">
        <v>25</v>
      </c>
      <c r="J2" s="2">
        <f>COUNTIF($I$2:I2,I2)</f>
        <v>1</v>
      </c>
      <c r="K2" s="2">
        <v>26</v>
      </c>
      <c r="M2" s="3" t="s">
        <v>5</v>
      </c>
      <c r="N2" s="2">
        <v>50</v>
      </c>
      <c r="O2" s="2">
        <v>30</v>
      </c>
      <c r="P2" s="2">
        <v>20</v>
      </c>
    </row>
    <row r="3" spans="1:16" x14ac:dyDescent="0.25">
      <c r="A3" s="30" t="s">
        <v>204</v>
      </c>
      <c r="G3" s="2">
        <v>55</v>
      </c>
      <c r="I3" s="2">
        <v>55</v>
      </c>
      <c r="J3" s="2">
        <f>COUNTIF($I$2:I3,I3)</f>
        <v>1</v>
      </c>
      <c r="K3" s="2">
        <v>51</v>
      </c>
      <c r="M3" s="2" t="s">
        <v>6</v>
      </c>
      <c r="N3" s="2">
        <v>20</v>
      </c>
      <c r="O3" s="2">
        <v>15</v>
      </c>
      <c r="P3" s="2">
        <v>25</v>
      </c>
    </row>
    <row r="4" spans="1:16" x14ac:dyDescent="0.25">
      <c r="A4" s="30" t="s">
        <v>205</v>
      </c>
      <c r="E4">
        <v>10</v>
      </c>
      <c r="G4" s="2">
        <v>110</v>
      </c>
      <c r="I4" s="2">
        <v>100</v>
      </c>
      <c r="J4" s="2">
        <f>COUNTIF($I$2:I4,I4)</f>
        <v>1</v>
      </c>
      <c r="K4" s="2">
        <v>61</v>
      </c>
      <c r="M4" s="3" t="s">
        <v>7</v>
      </c>
      <c r="N4" s="2">
        <v>10</v>
      </c>
      <c r="O4" s="2">
        <v>9</v>
      </c>
      <c r="P4" s="2">
        <v>35</v>
      </c>
    </row>
    <row r="5" spans="1:16" x14ac:dyDescent="0.25">
      <c r="A5" s="30" t="s">
        <v>206</v>
      </c>
      <c r="E5">
        <v>20</v>
      </c>
      <c r="G5" s="2">
        <v>50</v>
      </c>
      <c r="I5" s="2">
        <v>50</v>
      </c>
      <c r="J5" s="2">
        <f>COUNTIF($I$2:I5,I5)</f>
        <v>1</v>
      </c>
      <c r="K5" s="2">
        <v>51</v>
      </c>
      <c r="M5" s="2" t="s">
        <v>8</v>
      </c>
      <c r="N5" s="2">
        <v>30</v>
      </c>
      <c r="O5" s="2">
        <v>15</v>
      </c>
      <c r="P5" s="2">
        <v>28</v>
      </c>
    </row>
    <row r="6" spans="1:16" x14ac:dyDescent="0.25">
      <c r="A6" s="30" t="s">
        <v>207</v>
      </c>
      <c r="E6">
        <v>15</v>
      </c>
      <c r="G6" s="2">
        <v>80</v>
      </c>
      <c r="I6" s="2">
        <v>100</v>
      </c>
      <c r="J6" s="2">
        <f>COUNTIF($I$2:I6,I6)</f>
        <v>2</v>
      </c>
      <c r="K6" s="2">
        <v>101</v>
      </c>
      <c r="M6" s="3" t="s">
        <v>9</v>
      </c>
      <c r="N6" s="2">
        <v>70</v>
      </c>
      <c r="O6" s="2">
        <v>20</v>
      </c>
      <c r="P6" s="2">
        <v>29</v>
      </c>
    </row>
    <row r="7" spans="1:16" x14ac:dyDescent="0.25">
      <c r="A7" s="30" t="s">
        <v>208</v>
      </c>
      <c r="E7">
        <v>30</v>
      </c>
      <c r="G7" s="2">
        <v>200</v>
      </c>
      <c r="I7" s="2">
        <v>200</v>
      </c>
      <c r="J7" s="2">
        <f>COUNTIF($I$2:I7,I7)</f>
        <v>1</v>
      </c>
      <c r="K7" s="2">
        <v>201</v>
      </c>
      <c r="M7" s="2" t="s">
        <v>10</v>
      </c>
      <c r="N7" s="2">
        <v>25</v>
      </c>
      <c r="O7" s="2">
        <v>25</v>
      </c>
      <c r="P7" s="2">
        <v>40</v>
      </c>
    </row>
    <row r="8" spans="1:16" x14ac:dyDescent="0.25">
      <c r="A8" s="30" t="s">
        <v>209</v>
      </c>
      <c r="E8">
        <v>10</v>
      </c>
      <c r="G8" s="2">
        <v>100</v>
      </c>
      <c r="I8" s="2">
        <v>100</v>
      </c>
      <c r="J8" s="2">
        <f>COUNTIF($I$2:I8,I8)</f>
        <v>3</v>
      </c>
      <c r="K8" s="2">
        <v>101</v>
      </c>
      <c r="M8" s="3" t="s">
        <v>11</v>
      </c>
      <c r="N8" s="2">
        <v>35</v>
      </c>
      <c r="O8" s="2">
        <v>30</v>
      </c>
      <c r="P8" s="2">
        <v>15</v>
      </c>
    </row>
    <row r="9" spans="1:16" x14ac:dyDescent="0.25">
      <c r="A9" s="30" t="s">
        <v>210</v>
      </c>
      <c r="E9">
        <v>15</v>
      </c>
      <c r="G9" s="2">
        <v>90</v>
      </c>
      <c r="I9" s="2"/>
      <c r="J9" s="2">
        <f>COUNTIF($I$2:I9,I9)</f>
        <v>0</v>
      </c>
      <c r="K9" s="2">
        <v>91</v>
      </c>
      <c r="M9" s="2" t="s">
        <v>12</v>
      </c>
      <c r="N9" s="2">
        <v>50</v>
      </c>
      <c r="O9" s="2">
        <v>25</v>
      </c>
      <c r="P9" s="2">
        <v>12</v>
      </c>
    </row>
    <row r="10" spans="1:16" x14ac:dyDescent="0.25">
      <c r="A10" s="30" t="s">
        <v>211</v>
      </c>
      <c r="E10">
        <v>30</v>
      </c>
      <c r="G10" s="2">
        <v>85</v>
      </c>
      <c r="I10" s="2">
        <v>85</v>
      </c>
      <c r="J10" s="2">
        <f>COUNTIF($I$2:I10,I10)</f>
        <v>1</v>
      </c>
      <c r="K10" s="2">
        <v>86</v>
      </c>
      <c r="M10" s="3" t="s">
        <v>13</v>
      </c>
      <c r="N10" s="2">
        <v>31</v>
      </c>
      <c r="O10" s="2">
        <v>20</v>
      </c>
      <c r="P10" s="2">
        <v>13</v>
      </c>
    </row>
    <row r="11" spans="1:16" x14ac:dyDescent="0.25">
      <c r="A11" s="30" t="s">
        <v>212</v>
      </c>
      <c r="E11">
        <v>50</v>
      </c>
      <c r="G11" s="2">
        <v>60</v>
      </c>
      <c r="I11" s="2">
        <v>60</v>
      </c>
      <c r="J11" s="2">
        <f>COUNTIF($I$2:I11,I11)</f>
        <v>1</v>
      </c>
      <c r="K11" s="2">
        <v>61</v>
      </c>
      <c r="M11" s="3" t="s">
        <v>14</v>
      </c>
      <c r="N11" s="2">
        <v>15</v>
      </c>
      <c r="O11" s="2">
        <v>15</v>
      </c>
      <c r="P11" s="2">
        <v>20</v>
      </c>
    </row>
    <row r="12" spans="1:16" x14ac:dyDescent="0.25">
      <c r="A12" s="30" t="s">
        <v>213</v>
      </c>
      <c r="E12">
        <v>10</v>
      </c>
      <c r="G12" s="2">
        <v>100</v>
      </c>
      <c r="I12" s="2">
        <v>100</v>
      </c>
      <c r="J12" s="2">
        <f>COUNTIF($I$2:I12,I12)</f>
        <v>4</v>
      </c>
      <c r="K12" s="2">
        <v>101</v>
      </c>
      <c r="M12" s="2" t="s">
        <v>15</v>
      </c>
      <c r="N12" s="2">
        <v>10</v>
      </c>
      <c r="O12" s="2">
        <v>14</v>
      </c>
      <c r="P12" s="2">
        <v>30</v>
      </c>
    </row>
    <row r="13" spans="1:16" x14ac:dyDescent="0.25">
      <c r="A13" s="30" t="s">
        <v>214</v>
      </c>
      <c r="G13" s="2">
        <v>200</v>
      </c>
      <c r="I13" s="2">
        <v>200</v>
      </c>
      <c r="J13" s="2">
        <f>COUNTIF($I$2:I13,I13)</f>
        <v>2</v>
      </c>
      <c r="K13" s="2">
        <v>201</v>
      </c>
      <c r="M13" s="3" t="s">
        <v>16</v>
      </c>
      <c r="N13" s="2">
        <v>25</v>
      </c>
      <c r="O13" s="2">
        <v>12</v>
      </c>
      <c r="P13" s="2">
        <v>15</v>
      </c>
    </row>
    <row r="14" spans="1:16" x14ac:dyDescent="0.25">
      <c r="G14" s="2">
        <v>90</v>
      </c>
      <c r="I14" s="2">
        <v>90</v>
      </c>
      <c r="J14" s="2">
        <f>COUNTIF($I$2:I14,I14)</f>
        <v>1</v>
      </c>
      <c r="K14" s="2">
        <v>91</v>
      </c>
    </row>
    <row r="15" spans="1:16" ht="18" x14ac:dyDescent="0.25">
      <c r="A15" s="29" t="s">
        <v>197</v>
      </c>
      <c r="N15" s="5" t="s">
        <v>240</v>
      </c>
    </row>
    <row r="16" spans="1:16" x14ac:dyDescent="0.25">
      <c r="A16" s="30" t="s">
        <v>215</v>
      </c>
      <c r="J16" s="5" t="s">
        <v>239</v>
      </c>
      <c r="N16" s="5" t="s">
        <v>241</v>
      </c>
    </row>
    <row r="17" spans="1:7" x14ac:dyDescent="0.25">
      <c r="A17" s="30" t="s">
        <v>216</v>
      </c>
    </row>
    <row r="18" spans="1:7" x14ac:dyDescent="0.25">
      <c r="A18" s="30" t="s">
        <v>217</v>
      </c>
    </row>
    <row r="19" spans="1:7" x14ac:dyDescent="0.25">
      <c r="A19" s="30" t="s">
        <v>218</v>
      </c>
    </row>
    <row r="20" spans="1:7" x14ac:dyDescent="0.25">
      <c r="A20" s="30" t="s">
        <v>278</v>
      </c>
      <c r="C20" s="5" t="s">
        <v>279</v>
      </c>
    </row>
    <row r="22" spans="1:7" ht="18" x14ac:dyDescent="0.25">
      <c r="A22" s="29" t="s">
        <v>198</v>
      </c>
    </row>
    <row r="23" spans="1:7" x14ac:dyDescent="0.25">
      <c r="A23" s="30" t="s">
        <v>219</v>
      </c>
    </row>
    <row r="24" spans="1:7" x14ac:dyDescent="0.25">
      <c r="A24" s="30" t="s">
        <v>220</v>
      </c>
    </row>
    <row r="25" spans="1:7" x14ac:dyDescent="0.25">
      <c r="A25" s="30" t="s">
        <v>221</v>
      </c>
    </row>
    <row r="26" spans="1:7" x14ac:dyDescent="0.25">
      <c r="A26" s="30" t="s">
        <v>222</v>
      </c>
      <c r="F26" s="35"/>
    </row>
    <row r="27" spans="1:7" x14ac:dyDescent="0.25">
      <c r="A27" s="30" t="s">
        <v>223</v>
      </c>
      <c r="F27" s="37">
        <v>555</v>
      </c>
    </row>
    <row r="28" spans="1:7" x14ac:dyDescent="0.25">
      <c r="A28" s="30" t="s">
        <v>224</v>
      </c>
    </row>
    <row r="29" spans="1:7" x14ac:dyDescent="0.25">
      <c r="A29" s="30" t="s">
        <v>225</v>
      </c>
    </row>
    <row r="30" spans="1:7" x14ac:dyDescent="0.25">
      <c r="G30" s="36"/>
    </row>
    <row r="31" spans="1:7" ht="18" x14ac:dyDescent="0.25">
      <c r="A31" s="29" t="s">
        <v>199</v>
      </c>
    </row>
    <row r="32" spans="1:7" x14ac:dyDescent="0.25">
      <c r="A32" s="31"/>
    </row>
    <row r="33" spans="1:9" x14ac:dyDescent="0.25">
      <c r="A33" s="30" t="s">
        <v>226</v>
      </c>
    </row>
    <row r="34" spans="1:9" x14ac:dyDescent="0.25">
      <c r="A34" s="30" t="s">
        <v>227</v>
      </c>
      <c r="H34" s="38"/>
    </row>
    <row r="35" spans="1:9" x14ac:dyDescent="0.25">
      <c r="A35" s="30" t="s">
        <v>228</v>
      </c>
    </row>
    <row r="36" spans="1:9" x14ac:dyDescent="0.25">
      <c r="A36" s="30" t="s">
        <v>229</v>
      </c>
      <c r="I36" s="38"/>
    </row>
    <row r="37" spans="1:9" x14ac:dyDescent="0.25">
      <c r="A37" s="30" t="s">
        <v>230</v>
      </c>
      <c r="D37" s="5" t="s">
        <v>280</v>
      </c>
    </row>
    <row r="39" spans="1:9" ht="18" x14ac:dyDescent="0.25">
      <c r="A39" s="29" t="s">
        <v>200</v>
      </c>
    </row>
    <row r="40" spans="1:9" x14ac:dyDescent="0.25">
      <c r="A40" s="31"/>
    </row>
    <row r="41" spans="1:9" x14ac:dyDescent="0.25">
      <c r="A41" s="30" t="s">
        <v>202</v>
      </c>
    </row>
    <row r="42" spans="1:9" x14ac:dyDescent="0.25">
      <c r="A42" s="30" t="s">
        <v>231</v>
      </c>
    </row>
    <row r="43" spans="1:9" x14ac:dyDescent="0.25">
      <c r="A43" s="30" t="s">
        <v>232</v>
      </c>
    </row>
    <row r="44" spans="1:9" x14ac:dyDescent="0.25">
      <c r="A44" s="30" t="s">
        <v>233</v>
      </c>
    </row>
    <row r="46" spans="1:9" ht="18" x14ac:dyDescent="0.25">
      <c r="A46" s="29" t="s">
        <v>201</v>
      </c>
    </row>
    <row r="47" spans="1:9" x14ac:dyDescent="0.25">
      <c r="A47" s="31"/>
    </row>
    <row r="48" spans="1:9" x14ac:dyDescent="0.25">
      <c r="A48" s="30" t="s">
        <v>234</v>
      </c>
    </row>
    <row r="49" spans="1:1" x14ac:dyDescent="0.25">
      <c r="A49" s="30" t="s">
        <v>235</v>
      </c>
    </row>
    <row r="50" spans="1:1" x14ac:dyDescent="0.25">
      <c r="A50" s="30" t="s">
        <v>236</v>
      </c>
    </row>
  </sheetData>
  <conditionalFormatting sqref="J2:J14">
    <cfRule type="duplicateValues" dxfId="3" priority="4"/>
  </conditionalFormatting>
  <conditionalFormatting sqref="I2:I14">
    <cfRule type="duplicateValues" dxfId="2" priority="3"/>
  </conditionalFormatting>
  <conditionalFormatting sqref="G2:G14">
    <cfRule type="cellIs" dxfId="1" priority="2" operator="greaterThan">
      <formula>90</formula>
    </cfRule>
  </conditionalFormatting>
  <conditionalFormatting sqref="E4:E1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Chart</vt:lpstr>
      <vt:lpstr>Excel-ppt connection</vt:lpstr>
      <vt:lpstr>Sparklines</vt:lpstr>
      <vt:lpstr>Macro</vt:lpstr>
      <vt:lpstr>Exampel Macro</vt:lpstr>
      <vt:lpstr>Sheet1</vt:lpstr>
      <vt:lpstr>Sheet3</vt:lpstr>
      <vt:lpstr>New Features</vt:lpstr>
      <vt:lpstr>Shortcuts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Kamat</dc:creator>
  <cp:lastModifiedBy>Amit Kamat</cp:lastModifiedBy>
  <dcterms:created xsi:type="dcterms:W3CDTF">2025-02-25T00:50:53Z</dcterms:created>
  <dcterms:modified xsi:type="dcterms:W3CDTF">2025-10-06T16:52:41Z</dcterms:modified>
</cp:coreProperties>
</file>